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USB_26년장부\템플릿\"/>
    </mc:Choice>
  </mc:AlternateContent>
  <xr:revisionPtr revIDLastSave="0" documentId="13_ncr:1_{85E0CF3E-7DC8-4C77-BF1E-4A740A6A0B14}" xr6:coauthVersionLast="47" xr6:coauthVersionMax="47" xr10:uidLastSave="{00000000-0000-0000-0000-000000000000}"/>
  <bookViews>
    <workbookView xWindow="-98" yWindow="-98" windowWidth="21795" windowHeight="12975" firstSheet="2" activeTab="6" xr2:uid="{00000000-000D-0000-FFFF-FFFF00000000}"/>
  </bookViews>
  <sheets>
    <sheet name="지엠식자재마트(지산DC)" sheetId="1" r:id="rId1"/>
    <sheet name="HS식자재도매유통" sheetId="2" r:id="rId2"/>
    <sheet name="옥계빅" sheetId="72" r:id="rId3"/>
    <sheet name="상모빅" sheetId="73" r:id="rId4"/>
    <sheet name="플래쉬" sheetId="74" r:id="rId5"/>
    <sheet name="고향가마솥" sheetId="75" r:id="rId6"/>
    <sheet name="명희네" sheetId="76" r:id="rId7"/>
    <sheet name="더킹마트" sheetId="3" r:id="rId8"/>
    <sheet name="형곡우리마트" sheetId="4" r:id="rId9"/>
    <sheet name="비산DC마트" sheetId="5" r:id="rId10"/>
    <sheet name="비산킹마트" sheetId="6" r:id="rId11"/>
    <sheet name="광천킹마트" sheetId="7" r:id="rId12"/>
    <sheet name="팜식자재마트" sheetId="8" r:id="rId13"/>
    <sheet name="구포ss마트" sheetId="9" r:id="rId14"/>
    <sheet name="송정ss마트" sheetId="10" r:id="rId15"/>
    <sheet name="VIP마트" sheetId="11" r:id="rId16"/>
    <sheet name="내고향식자재마트" sheetId="12" r:id="rId17"/>
    <sheet name="문성팜식자재마트" sheetId="13" r:id="rId18"/>
    <sheet name="참마트" sheetId="14" r:id="rId19"/>
    <sheet name="왕산마트" sheetId="15" r:id="rId20"/>
    <sheet name="형곡드림마트" sheetId="16" r:id="rId21"/>
    <sheet name="문성드림마트" sheetId="17" r:id="rId22"/>
    <sheet name="임은DC마트" sheetId="18" r:id="rId23"/>
    <sheet name="형곡DC마트" sheetId="19" r:id="rId24"/>
    <sheet name="북삼우리푸드" sheetId="21" r:id="rId25"/>
    <sheet name="아름식품" sheetId="22" r:id="rId26"/>
    <sheet name="고놈의불향쭈꾸미" sheetId="23" r:id="rId27"/>
    <sheet name="올레길" sheetId="25" r:id="rId28"/>
    <sheet name="다온약선톳밥" sheetId="26" r:id="rId29"/>
    <sheet name="남통대구왕뽈찜" sheetId="27" r:id="rId30"/>
    <sheet name="깜상알밥국시" sheetId="29" r:id="rId31"/>
    <sheet name="상모오호오쭈꾸미" sheetId="30" r:id="rId32"/>
    <sheet name="원골" sheetId="31" r:id="rId33"/>
    <sheet name="불구이돈" sheetId="32" r:id="rId34"/>
    <sheet name="형곡종가숯불갈비" sheetId="33" r:id="rId35"/>
    <sheet name="상모뒷고기" sheetId="34" r:id="rId36"/>
    <sheet name="상모용두동쭈꾸미" sheetId="35" r:id="rId37"/>
    <sheet name="형곡용두동쭈꾸미" sheetId="36" r:id="rId38"/>
    <sheet name="이가네족발" sheetId="37" r:id="rId39"/>
    <sheet name="뜨끈이" sheetId="38" r:id="rId40"/>
    <sheet name="황태덕장" sheetId="39" r:id="rId41"/>
    <sheet name="양평" sheetId="40" r:id="rId42"/>
    <sheet name="원조가오리" sheetId="41" r:id="rId43"/>
    <sheet name="신촌" sheetId="42" r:id="rId44"/>
    <sheet name="원웰빙마트" sheetId="43" r:id="rId45"/>
    <sheet name="아포킹마트" sheetId="44" r:id="rId46"/>
    <sheet name="아포팜" sheetId="45" r:id="rId47"/>
    <sheet name="지성이해물찜" sheetId="46" r:id="rId48"/>
    <sheet name="김천대구왕뽈찜" sheetId="47" r:id="rId49"/>
    <sheet name="신음대구왕뽈찜" sheetId="48" r:id="rId50"/>
    <sheet name="동해수산횟집" sheetId="49" r:id="rId51"/>
    <sheet name="김천DC마트" sheetId="50" r:id="rId52"/>
    <sheet name="김천와촌" sheetId="51" r:id="rId53"/>
    <sheet name="뻘떡낙지" sheetId="52" r:id="rId54"/>
    <sheet name="수영" sheetId="53" r:id="rId55"/>
    <sheet name="오거리" sheetId="54" r:id="rId56"/>
    <sheet name="합동식품" sheetId="55" r:id="rId57"/>
    <sheet name="하나로" sheetId="56" r:id="rId58"/>
    <sheet name="축협하나로" sheetId="57" r:id="rId59"/>
    <sheet name="아포농협" sheetId="58" r:id="rId60"/>
    <sheet name="도레미" sheetId="59" r:id="rId61"/>
    <sheet name="로타리" sheetId="60" r:id="rId62"/>
    <sheet name="아포상회" sheetId="61" r:id="rId63"/>
    <sheet name="팔도콩나물국밥" sheetId="62" r:id="rId64"/>
    <sheet name="양지" sheetId="65" r:id="rId65"/>
    <sheet name="다혜원" sheetId="66" r:id="rId66"/>
    <sheet name="원호노점" sheetId="67" r:id="rId67"/>
    <sheet name="아포아구찜" sheetId="68" r:id="rId68"/>
    <sheet name="선산식자재마트" sheetId="69" r:id="rId69"/>
    <sheet name="팔공식품" sheetId="71" r:id="rId7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3" i="74" l="1"/>
  <c r="L62" i="74"/>
  <c r="L61" i="74"/>
  <c r="L60" i="74"/>
  <c r="L59" i="74"/>
  <c r="L58" i="74"/>
  <c r="L57" i="74"/>
  <c r="L56" i="74"/>
  <c r="L55" i="74"/>
  <c r="L54" i="74"/>
  <c r="L53" i="74"/>
  <c r="L52" i="74"/>
  <c r="L51" i="74"/>
  <c r="L50" i="74"/>
  <c r="L49" i="74"/>
  <c r="L48" i="74"/>
  <c r="L64" i="74" s="1"/>
  <c r="L47" i="74"/>
  <c r="L46" i="74"/>
  <c r="L45" i="74"/>
  <c r="L44" i="74"/>
  <c r="L43" i="74"/>
  <c r="L42" i="74"/>
  <c r="L41" i="74"/>
  <c r="L40" i="74"/>
  <c r="L39" i="74"/>
  <c r="L38" i="74"/>
  <c r="L37" i="74"/>
  <c r="L36" i="74"/>
  <c r="L35" i="74"/>
  <c r="L34" i="74"/>
  <c r="L33" i="74"/>
  <c r="L63" i="72"/>
  <c r="L62" i="72"/>
  <c r="L61" i="72"/>
  <c r="L60" i="72"/>
  <c r="L59" i="72"/>
  <c r="L58" i="72"/>
  <c r="L57" i="72"/>
  <c r="L56" i="72"/>
  <c r="L55" i="72"/>
  <c r="L54" i="72"/>
  <c r="L53" i="72"/>
  <c r="L52" i="72"/>
  <c r="L51" i="72"/>
  <c r="L50" i="72"/>
  <c r="L49" i="72"/>
  <c r="L48" i="72"/>
  <c r="L47" i="72"/>
  <c r="L46" i="72"/>
  <c r="L45" i="72"/>
  <c r="L44" i="72"/>
  <c r="L43" i="72"/>
  <c r="L42" i="72"/>
  <c r="L41" i="72"/>
  <c r="L40" i="72"/>
  <c r="L64" i="72" s="1"/>
  <c r="L39" i="72"/>
  <c r="L38" i="72"/>
  <c r="L37" i="72"/>
  <c r="L36" i="72"/>
  <c r="L35" i="72"/>
  <c r="L34" i="72"/>
  <c r="L33" i="72"/>
  <c r="L63" i="73"/>
  <c r="L62" i="73"/>
  <c r="L61" i="73"/>
  <c r="L60" i="73"/>
  <c r="L59" i="73"/>
  <c r="L58" i="73"/>
  <c r="L57" i="73"/>
  <c r="L56" i="73"/>
  <c r="L55" i="73"/>
  <c r="L54" i="73"/>
  <c r="L53" i="73"/>
  <c r="L52" i="73"/>
  <c r="L51" i="73"/>
  <c r="L50" i="73"/>
  <c r="L49" i="73"/>
  <c r="L48" i="73"/>
  <c r="L47" i="73"/>
  <c r="L46" i="73"/>
  <c r="L45" i="73"/>
  <c r="L44" i="73"/>
  <c r="L43" i="73"/>
  <c r="L42" i="73"/>
  <c r="L41" i="73"/>
  <c r="L40" i="73"/>
  <c r="L39" i="73"/>
  <c r="L38" i="73"/>
  <c r="L37" i="73"/>
  <c r="L36" i="73"/>
  <c r="L35" i="73"/>
  <c r="L34" i="73"/>
  <c r="L33" i="73"/>
  <c r="L64" i="73"/>
  <c r="L63" i="75"/>
  <c r="L62" i="75"/>
  <c r="L61" i="75"/>
  <c r="L60" i="75"/>
  <c r="L59" i="75"/>
  <c r="L58" i="75"/>
  <c r="L57" i="75"/>
  <c r="L56" i="75"/>
  <c r="L64" i="75" s="1"/>
  <c r="L55" i="75"/>
  <c r="L54" i="75"/>
  <c r="L53" i="75"/>
  <c r="L52" i="75"/>
  <c r="L51" i="75"/>
  <c r="L50" i="75"/>
  <c r="L49" i="75"/>
  <c r="L48" i="75"/>
  <c r="L47" i="75"/>
  <c r="L46" i="75"/>
  <c r="L45" i="75"/>
  <c r="L44" i="75"/>
  <c r="L43" i="75"/>
  <c r="L42" i="75"/>
  <c r="L41" i="75"/>
  <c r="L40" i="75"/>
  <c r="L39" i="75"/>
  <c r="L38" i="75"/>
  <c r="L37" i="75"/>
  <c r="L36" i="75"/>
  <c r="L35" i="75"/>
  <c r="L34" i="75"/>
  <c r="L33" i="75"/>
  <c r="L63" i="76"/>
  <c r="L62" i="76"/>
  <c r="L61" i="76"/>
  <c r="L60" i="76"/>
  <c r="L59" i="76"/>
  <c r="L58" i="76"/>
  <c r="L57" i="76"/>
  <c r="L56" i="76"/>
  <c r="L55" i="76"/>
  <c r="L54" i="76"/>
  <c r="L53" i="76"/>
  <c r="L52" i="76"/>
  <c r="L51" i="76"/>
  <c r="L50" i="76"/>
  <c r="L49" i="76"/>
  <c r="L48" i="76"/>
  <c r="L47" i="76"/>
  <c r="L46" i="76"/>
  <c r="L45" i="76"/>
  <c r="L44" i="76"/>
  <c r="L43" i="76"/>
  <c r="L42" i="76"/>
  <c r="L41" i="76"/>
  <c r="L40" i="76"/>
  <c r="L39" i="76"/>
  <c r="L38" i="76"/>
  <c r="L37" i="76"/>
  <c r="L36" i="76"/>
  <c r="L35" i="76"/>
  <c r="L34" i="76"/>
  <c r="L33" i="76"/>
  <c r="L64" i="76" s="1"/>
  <c r="G60" i="71"/>
  <c r="G59" i="71"/>
  <c r="G58" i="71"/>
  <c r="G57" i="71"/>
  <c r="G56" i="71"/>
  <c r="G55" i="71"/>
  <c r="G54" i="71"/>
  <c r="G53" i="71"/>
  <c r="G52" i="71"/>
  <c r="G51" i="71"/>
  <c r="G50" i="71"/>
  <c r="G49" i="71"/>
  <c r="G48" i="71"/>
  <c r="G47" i="71"/>
  <c r="G46" i="71"/>
  <c r="G45" i="71"/>
  <c r="G44" i="71"/>
  <c r="G43" i="71"/>
  <c r="G42" i="71"/>
  <c r="G41" i="71"/>
  <c r="G40" i="71"/>
  <c r="G39" i="71"/>
  <c r="G38" i="71"/>
  <c r="G37" i="71"/>
  <c r="G36" i="71"/>
  <c r="G35" i="71"/>
  <c r="G34" i="71"/>
  <c r="G33" i="71"/>
  <c r="L60" i="69"/>
  <c r="L59" i="69"/>
  <c r="L58" i="69"/>
  <c r="L57" i="69"/>
  <c r="L56" i="69"/>
  <c r="L55" i="69"/>
  <c r="L54" i="69"/>
  <c r="L53" i="69"/>
  <c r="L52" i="69"/>
  <c r="L51" i="69"/>
  <c r="L50" i="69"/>
  <c r="L49" i="69"/>
  <c r="L48" i="69"/>
  <c r="L47" i="69"/>
  <c r="L46" i="69"/>
  <c r="L45" i="69"/>
  <c r="L44" i="69"/>
  <c r="L43" i="69"/>
  <c r="L42" i="69"/>
  <c r="L41" i="69"/>
  <c r="L40" i="69"/>
  <c r="L39" i="69"/>
  <c r="L38" i="69"/>
  <c r="L37" i="69"/>
  <c r="L36" i="69"/>
  <c r="L35" i="69"/>
  <c r="L34" i="69"/>
  <c r="L33" i="69"/>
  <c r="L62" i="68"/>
  <c r="L61" i="68"/>
  <c r="L60" i="68"/>
  <c r="L59" i="68"/>
  <c r="L58" i="68"/>
  <c r="L57" i="68"/>
  <c r="L56" i="68"/>
  <c r="L55" i="68"/>
  <c r="L54" i="68"/>
  <c r="L53" i="68"/>
  <c r="L52" i="68"/>
  <c r="L51" i="68"/>
  <c r="L50" i="68"/>
  <c r="L49" i="68"/>
  <c r="L48" i="68"/>
  <c r="L47" i="68"/>
  <c r="L46" i="68"/>
  <c r="L45" i="68"/>
  <c r="L44" i="68"/>
  <c r="L43" i="68"/>
  <c r="L42" i="68"/>
  <c r="L41" i="68"/>
  <c r="L40" i="68"/>
  <c r="L39" i="68"/>
  <c r="L38" i="68"/>
  <c r="L37" i="68"/>
  <c r="L36" i="68"/>
  <c r="L35" i="68"/>
  <c r="L34" i="68"/>
  <c r="L33" i="68"/>
  <c r="L62" i="67"/>
  <c r="L61" i="67"/>
  <c r="L60" i="67"/>
  <c r="L59" i="67"/>
  <c r="L58" i="67"/>
  <c r="L57" i="67"/>
  <c r="L56" i="67"/>
  <c r="L55" i="67"/>
  <c r="L54" i="67"/>
  <c r="L53" i="67"/>
  <c r="L52" i="67"/>
  <c r="L51" i="67"/>
  <c r="L50" i="67"/>
  <c r="L49" i="67"/>
  <c r="L48" i="67"/>
  <c r="L47" i="67"/>
  <c r="L46" i="67"/>
  <c r="L45" i="67"/>
  <c r="L44" i="67"/>
  <c r="L43" i="67"/>
  <c r="L42" i="67"/>
  <c r="L41" i="67"/>
  <c r="L40" i="67"/>
  <c r="L39" i="67"/>
  <c r="L38" i="67"/>
  <c r="L37" i="67"/>
  <c r="L36" i="67"/>
  <c r="L35" i="67"/>
  <c r="L34" i="67"/>
  <c r="L33" i="67"/>
  <c r="L62" i="66"/>
  <c r="L61" i="66"/>
  <c r="L60" i="66"/>
  <c r="L59" i="66"/>
  <c r="L58" i="66"/>
  <c r="L57" i="66"/>
  <c r="L56" i="66"/>
  <c r="L55" i="66"/>
  <c r="L54" i="66"/>
  <c r="L53" i="66"/>
  <c r="L52" i="66"/>
  <c r="L51" i="66"/>
  <c r="L50" i="66"/>
  <c r="L49" i="66"/>
  <c r="L48" i="66"/>
  <c r="L47" i="66"/>
  <c r="L46" i="66"/>
  <c r="L45" i="66"/>
  <c r="L44" i="66"/>
  <c r="L43" i="66"/>
  <c r="L42" i="66"/>
  <c r="L41" i="66"/>
  <c r="L40" i="66"/>
  <c r="L39" i="66"/>
  <c r="L38" i="66"/>
  <c r="L37" i="66"/>
  <c r="L36" i="66"/>
  <c r="L35" i="66"/>
  <c r="L34" i="66"/>
  <c r="L33" i="66"/>
  <c r="L61" i="65"/>
  <c r="L60" i="65"/>
  <c r="L59" i="65"/>
  <c r="L58" i="65"/>
  <c r="L57" i="65"/>
  <c r="L56" i="65"/>
  <c r="L55" i="65"/>
  <c r="L54" i="65"/>
  <c r="L53" i="65"/>
  <c r="L52" i="65"/>
  <c r="L51" i="65"/>
  <c r="L50" i="65"/>
  <c r="L49" i="65"/>
  <c r="L48" i="65"/>
  <c r="L47" i="65"/>
  <c r="L46" i="65"/>
  <c r="L45" i="65"/>
  <c r="L44" i="65"/>
  <c r="L43" i="65"/>
  <c r="L42" i="65"/>
  <c r="L41" i="65"/>
  <c r="L40" i="65"/>
  <c r="L39" i="65"/>
  <c r="L38" i="65"/>
  <c r="L37" i="65"/>
  <c r="L36" i="65"/>
  <c r="L35" i="65"/>
  <c r="L34" i="65"/>
  <c r="L33" i="65"/>
  <c r="L62" i="62"/>
  <c r="L61" i="62"/>
  <c r="L60" i="62"/>
  <c r="L59" i="62"/>
  <c r="L58" i="62"/>
  <c r="L57" i="62"/>
  <c r="L56" i="62"/>
  <c r="L55" i="62"/>
  <c r="L54" i="62"/>
  <c r="L53" i="62"/>
  <c r="L52" i="62"/>
  <c r="L51" i="62"/>
  <c r="L50" i="62"/>
  <c r="L49" i="62"/>
  <c r="L48" i="62"/>
  <c r="L47" i="62"/>
  <c r="L46" i="62"/>
  <c r="L45" i="62"/>
  <c r="L44" i="62"/>
  <c r="L43" i="62"/>
  <c r="L42" i="62"/>
  <c r="L41" i="62"/>
  <c r="L40" i="62"/>
  <c r="L39" i="62"/>
  <c r="L38" i="62"/>
  <c r="L37" i="62"/>
  <c r="L36" i="62"/>
  <c r="L35" i="62"/>
  <c r="L34" i="62"/>
  <c r="L33" i="62"/>
  <c r="L62" i="61"/>
  <c r="L61" i="61"/>
  <c r="L60" i="61"/>
  <c r="L59" i="61"/>
  <c r="L58" i="61"/>
  <c r="L57" i="61"/>
  <c r="L56" i="61"/>
  <c r="L55" i="61"/>
  <c r="L54" i="61"/>
  <c r="L53" i="61"/>
  <c r="L52" i="61"/>
  <c r="L51" i="61"/>
  <c r="L50" i="61"/>
  <c r="L49" i="61"/>
  <c r="L48" i="61"/>
  <c r="L47" i="61"/>
  <c r="L46" i="61"/>
  <c r="L45" i="61"/>
  <c r="L44" i="61"/>
  <c r="L43" i="61"/>
  <c r="L42" i="61"/>
  <c r="L41" i="61"/>
  <c r="L40" i="61"/>
  <c r="L39" i="61"/>
  <c r="L38" i="61"/>
  <c r="L37" i="61"/>
  <c r="L36" i="61"/>
  <c r="L35" i="61"/>
  <c r="L34" i="61"/>
  <c r="L33" i="61"/>
  <c r="L60" i="57"/>
  <c r="L59" i="57"/>
  <c r="L58" i="57"/>
  <c r="L57" i="57"/>
  <c r="L56" i="57"/>
  <c r="L55" i="57"/>
  <c r="L54" i="57"/>
  <c r="L53" i="57"/>
  <c r="L52" i="57"/>
  <c r="L51" i="57"/>
  <c r="L50" i="57"/>
  <c r="L49" i="57"/>
  <c r="L48" i="57"/>
  <c r="L47" i="57"/>
  <c r="L46" i="57"/>
  <c r="L45" i="57"/>
  <c r="L44" i="57"/>
  <c r="L43" i="57"/>
  <c r="L42" i="57"/>
  <c r="L41" i="57"/>
  <c r="L40" i="57"/>
  <c r="L39" i="57"/>
  <c r="L38" i="57"/>
  <c r="L37" i="57"/>
  <c r="L36" i="57"/>
  <c r="L35" i="57"/>
  <c r="L34" i="57"/>
  <c r="L33" i="57"/>
  <c r="L64" i="57" s="1"/>
  <c r="L61" i="56"/>
  <c r="L60" i="56"/>
  <c r="L59" i="56"/>
  <c r="L58" i="56"/>
  <c r="L57" i="56"/>
  <c r="L56" i="56"/>
  <c r="L55" i="56"/>
  <c r="L54" i="56"/>
  <c r="L53" i="56"/>
  <c r="L52" i="56"/>
  <c r="L51" i="56"/>
  <c r="L50" i="56"/>
  <c r="L49" i="56"/>
  <c r="L48" i="56"/>
  <c r="L47" i="56"/>
  <c r="L46" i="56"/>
  <c r="L45" i="56"/>
  <c r="L44" i="56"/>
  <c r="L43" i="56"/>
  <c r="L42" i="56"/>
  <c r="L41" i="56"/>
  <c r="L40" i="56"/>
  <c r="L39" i="56"/>
  <c r="L38" i="56"/>
  <c r="L37" i="56"/>
  <c r="L36" i="56"/>
  <c r="L35" i="56"/>
  <c r="L34" i="56"/>
  <c r="L33" i="56"/>
  <c r="L61" i="53"/>
  <c r="L60" i="53"/>
  <c r="L59" i="53"/>
  <c r="L58" i="53"/>
  <c r="L57" i="53"/>
  <c r="L56" i="53"/>
  <c r="L55" i="53"/>
  <c r="L54" i="53"/>
  <c r="L53" i="53"/>
  <c r="L52" i="53"/>
  <c r="L51" i="53"/>
  <c r="L50" i="53"/>
  <c r="L49" i="53"/>
  <c r="L48" i="53"/>
  <c r="L47" i="53"/>
  <c r="L46" i="53"/>
  <c r="L45" i="53"/>
  <c r="L44" i="53"/>
  <c r="L43" i="53"/>
  <c r="L42" i="53"/>
  <c r="L41" i="53"/>
  <c r="L40" i="53"/>
  <c r="L39" i="53"/>
  <c r="L38" i="53"/>
  <c r="L37" i="53"/>
  <c r="L36" i="53"/>
  <c r="L35" i="53"/>
  <c r="L34" i="53"/>
  <c r="L33" i="53"/>
  <c r="L61" i="52"/>
  <c r="L60" i="52"/>
  <c r="L59" i="52"/>
  <c r="L58" i="52"/>
  <c r="L57" i="52"/>
  <c r="L56" i="52"/>
  <c r="L55" i="52"/>
  <c r="L54" i="52"/>
  <c r="L53" i="52"/>
  <c r="L52" i="52"/>
  <c r="L51" i="52"/>
  <c r="L50" i="52"/>
  <c r="L49" i="52"/>
  <c r="L48" i="52"/>
  <c r="L47" i="52"/>
  <c r="L46" i="52"/>
  <c r="L45" i="52"/>
  <c r="L44" i="52"/>
  <c r="L43" i="52"/>
  <c r="L42" i="52"/>
  <c r="L41" i="52"/>
  <c r="L40" i="52"/>
  <c r="L39" i="52"/>
  <c r="L38" i="52"/>
  <c r="L37" i="52"/>
  <c r="L36" i="52"/>
  <c r="L35" i="52"/>
  <c r="L34" i="52"/>
  <c r="L33" i="52"/>
  <c r="L60" i="50"/>
  <c r="L59" i="50"/>
  <c r="L58" i="50"/>
  <c r="L57" i="50"/>
  <c r="L56" i="50"/>
  <c r="L55" i="50"/>
  <c r="L54" i="50"/>
  <c r="L53" i="50"/>
  <c r="L52" i="50"/>
  <c r="L51" i="50"/>
  <c r="L50" i="50"/>
  <c r="L49" i="50"/>
  <c r="L48" i="50"/>
  <c r="L47" i="50"/>
  <c r="L46" i="50"/>
  <c r="L45" i="50"/>
  <c r="L44" i="50"/>
  <c r="L43" i="50"/>
  <c r="L42" i="50"/>
  <c r="L41" i="50"/>
  <c r="L40" i="50"/>
  <c r="L39" i="50"/>
  <c r="L38" i="50"/>
  <c r="L37" i="50"/>
  <c r="L36" i="50"/>
  <c r="L35" i="50"/>
  <c r="L34" i="50"/>
  <c r="L33" i="50"/>
  <c r="L60" i="45"/>
  <c r="L59" i="45"/>
  <c r="L58" i="45"/>
  <c r="L57" i="45"/>
  <c r="L56" i="45"/>
  <c r="L55" i="45"/>
  <c r="L54" i="45"/>
  <c r="L53" i="45"/>
  <c r="L52" i="45"/>
  <c r="L51" i="45"/>
  <c r="L50" i="45"/>
  <c r="L49" i="45"/>
  <c r="L48" i="45"/>
  <c r="L47" i="45"/>
  <c r="L46" i="45"/>
  <c r="L45" i="45"/>
  <c r="L44" i="45"/>
  <c r="L43" i="45"/>
  <c r="L42" i="45"/>
  <c r="L41" i="45"/>
  <c r="L40" i="45"/>
  <c r="L39" i="45"/>
  <c r="L38" i="45"/>
  <c r="L37" i="45"/>
  <c r="L36" i="45"/>
  <c r="L35" i="45"/>
  <c r="L34" i="45"/>
  <c r="L33" i="45"/>
  <c r="L61" i="44"/>
  <c r="L60" i="44"/>
  <c r="L59" i="44"/>
  <c r="L58" i="44"/>
  <c r="L57" i="44"/>
  <c r="L56" i="44"/>
  <c r="L55" i="44"/>
  <c r="L54" i="44"/>
  <c r="L53" i="44"/>
  <c r="L52" i="44"/>
  <c r="L51" i="44"/>
  <c r="L50" i="44"/>
  <c r="L49" i="44"/>
  <c r="L48" i="44"/>
  <c r="L47" i="44"/>
  <c r="L46" i="44"/>
  <c r="L45" i="44"/>
  <c r="L44" i="44"/>
  <c r="L43" i="44"/>
  <c r="L42" i="44"/>
  <c r="L41" i="44"/>
  <c r="L40" i="44"/>
  <c r="L39" i="44"/>
  <c r="L38" i="44"/>
  <c r="L37" i="44"/>
  <c r="L36" i="44"/>
  <c r="L35" i="44"/>
  <c r="L34" i="44"/>
  <c r="L33" i="44"/>
  <c r="L61" i="42"/>
  <c r="L60" i="42"/>
  <c r="L59" i="42"/>
  <c r="L58" i="42"/>
  <c r="L57" i="42"/>
  <c r="L56" i="42"/>
  <c r="L55" i="42"/>
  <c r="L54" i="42"/>
  <c r="L53" i="42"/>
  <c r="L52" i="42"/>
  <c r="L51" i="42"/>
  <c r="L50" i="42"/>
  <c r="L49" i="42"/>
  <c r="L48" i="42"/>
  <c r="L47" i="42"/>
  <c r="L46" i="42"/>
  <c r="L45" i="42"/>
  <c r="L44" i="42"/>
  <c r="L43" i="42"/>
  <c r="L42" i="42"/>
  <c r="L41" i="42"/>
  <c r="L40" i="42"/>
  <c r="L39" i="42"/>
  <c r="L38" i="42"/>
  <c r="L37" i="42"/>
  <c r="L36" i="42"/>
  <c r="L35" i="42"/>
  <c r="L34" i="42"/>
  <c r="L33" i="42"/>
  <c r="L60" i="40"/>
  <c r="L59" i="40"/>
  <c r="L58" i="40"/>
  <c r="L57" i="40"/>
  <c r="L56" i="40"/>
  <c r="L55" i="40"/>
  <c r="L54" i="40"/>
  <c r="L53" i="40"/>
  <c r="L52" i="40"/>
  <c r="L51" i="40"/>
  <c r="L50" i="40"/>
  <c r="L49" i="40"/>
  <c r="L48" i="40"/>
  <c r="L47" i="40"/>
  <c r="L46" i="40"/>
  <c r="L45" i="40"/>
  <c r="L44" i="40"/>
  <c r="L43" i="40"/>
  <c r="L42" i="40"/>
  <c r="L41" i="40"/>
  <c r="L40" i="40"/>
  <c r="L39" i="40"/>
  <c r="L38" i="40"/>
  <c r="L37" i="40"/>
  <c r="L36" i="40"/>
  <c r="L35" i="40"/>
  <c r="L34" i="40"/>
  <c r="L33" i="40"/>
  <c r="L61" i="37"/>
  <c r="L60" i="37"/>
  <c r="L59" i="37"/>
  <c r="L58" i="37"/>
  <c r="L57" i="37"/>
  <c r="L56" i="37"/>
  <c r="L55" i="37"/>
  <c r="L54" i="37"/>
  <c r="L53" i="37"/>
  <c r="L52" i="37"/>
  <c r="L51" i="37"/>
  <c r="L50" i="37"/>
  <c r="L49" i="37"/>
  <c r="L48" i="37"/>
  <c r="L47" i="37"/>
  <c r="L46" i="37"/>
  <c r="L45" i="37"/>
  <c r="L44" i="37"/>
  <c r="L43" i="37"/>
  <c r="L42" i="37"/>
  <c r="L41" i="37"/>
  <c r="L40" i="37"/>
  <c r="L39" i="37"/>
  <c r="L38" i="37"/>
  <c r="L37" i="37"/>
  <c r="L36" i="37"/>
  <c r="L35" i="37"/>
  <c r="L34" i="37"/>
  <c r="L33" i="37"/>
  <c r="L61" i="36"/>
  <c r="L60" i="36"/>
  <c r="L59" i="36"/>
  <c r="L58" i="36"/>
  <c r="L57" i="36"/>
  <c r="L56" i="36"/>
  <c r="L55" i="36"/>
  <c r="L54" i="36"/>
  <c r="L53" i="36"/>
  <c r="L52" i="36"/>
  <c r="L51" i="36"/>
  <c r="L50" i="36"/>
  <c r="L49" i="36"/>
  <c r="L48" i="36"/>
  <c r="L47" i="36"/>
  <c r="L46" i="36"/>
  <c r="L45" i="36"/>
  <c r="L44" i="36"/>
  <c r="L43" i="36"/>
  <c r="L42" i="36"/>
  <c r="L41" i="36"/>
  <c r="L40" i="36"/>
  <c r="L39" i="36"/>
  <c r="L38" i="36"/>
  <c r="L37" i="36"/>
  <c r="L36" i="36"/>
  <c r="L35" i="36"/>
  <c r="L34" i="36"/>
  <c r="L33" i="36"/>
  <c r="L61" i="35"/>
  <c r="L60" i="35"/>
  <c r="L59" i="35"/>
  <c r="L58" i="35"/>
  <c r="L57" i="35"/>
  <c r="L56" i="35"/>
  <c r="L55" i="35"/>
  <c r="L54" i="35"/>
  <c r="L53" i="35"/>
  <c r="L52" i="35"/>
  <c r="L51" i="35"/>
  <c r="L50" i="35"/>
  <c r="L49" i="35"/>
  <c r="L48" i="35"/>
  <c r="L47" i="35"/>
  <c r="L46" i="35"/>
  <c r="L45" i="35"/>
  <c r="L44" i="35"/>
  <c r="L43" i="35"/>
  <c r="L42" i="35"/>
  <c r="L41" i="35"/>
  <c r="L40" i="35"/>
  <c r="L39" i="35"/>
  <c r="L38" i="35"/>
  <c r="L37" i="35"/>
  <c r="L36" i="35"/>
  <c r="L35" i="35"/>
  <c r="L34" i="35"/>
  <c r="L33" i="35"/>
  <c r="L61" i="29"/>
  <c r="L60" i="29"/>
  <c r="L59" i="29"/>
  <c r="L58" i="29"/>
  <c r="L57" i="29"/>
  <c r="L56" i="29"/>
  <c r="L55" i="29"/>
  <c r="L54" i="29"/>
  <c r="L53" i="29"/>
  <c r="L52" i="29"/>
  <c r="L51" i="29"/>
  <c r="L50" i="29"/>
  <c r="L49" i="29"/>
  <c r="L48" i="29"/>
  <c r="L47" i="29"/>
  <c r="L46" i="29"/>
  <c r="L45" i="29"/>
  <c r="L44" i="29"/>
  <c r="L43" i="29"/>
  <c r="L42" i="29"/>
  <c r="L41" i="29"/>
  <c r="L40" i="29"/>
  <c r="L39" i="29"/>
  <c r="L38" i="29"/>
  <c r="L37" i="29"/>
  <c r="L36" i="29"/>
  <c r="L35" i="29"/>
  <c r="L34" i="29"/>
  <c r="L33" i="29"/>
  <c r="L61" i="22"/>
  <c r="L60" i="22"/>
  <c r="L59" i="22"/>
  <c r="L58" i="22"/>
  <c r="L57" i="22"/>
  <c r="L56" i="22"/>
  <c r="L55" i="22"/>
  <c r="L54" i="22"/>
  <c r="L53" i="22"/>
  <c r="L52" i="22"/>
  <c r="L51" i="22"/>
  <c r="L50" i="22"/>
  <c r="L49" i="22"/>
  <c r="L48" i="22"/>
  <c r="L47" i="22"/>
  <c r="L46" i="22"/>
  <c r="L45" i="22"/>
  <c r="L44" i="22"/>
  <c r="L43" i="22"/>
  <c r="L42" i="22"/>
  <c r="L41" i="22"/>
  <c r="L40" i="22"/>
  <c r="L39" i="22"/>
  <c r="L38" i="22"/>
  <c r="L37" i="22"/>
  <c r="L36" i="22"/>
  <c r="L35" i="22"/>
  <c r="L34" i="22"/>
  <c r="L33" i="22"/>
  <c r="L60" i="18"/>
  <c r="L59" i="18"/>
  <c r="L58" i="18"/>
  <c r="L57" i="18"/>
  <c r="L56" i="18"/>
  <c r="L55" i="18"/>
  <c r="L54" i="18"/>
  <c r="L53" i="18"/>
  <c r="L52" i="18"/>
  <c r="L51" i="18"/>
  <c r="L50" i="18"/>
  <c r="L49" i="18"/>
  <c r="L48" i="18"/>
  <c r="L47" i="18"/>
  <c r="L46" i="18"/>
  <c r="L45" i="18"/>
  <c r="L44" i="18"/>
  <c r="L43" i="18"/>
  <c r="L42" i="18"/>
  <c r="L41" i="18"/>
  <c r="L40" i="18"/>
  <c r="L39" i="18"/>
  <c r="L38" i="18"/>
  <c r="L37" i="18"/>
  <c r="L36" i="18"/>
  <c r="L35" i="18"/>
  <c r="L34" i="18"/>
  <c r="L33" i="18"/>
  <c r="K60" i="17"/>
  <c r="K59" i="17"/>
  <c r="K58" i="17"/>
  <c r="K57" i="17"/>
  <c r="K56" i="17"/>
  <c r="K55" i="17"/>
  <c r="K54" i="17"/>
  <c r="K53" i="17"/>
  <c r="K52" i="17"/>
  <c r="K51" i="17"/>
  <c r="K50" i="17"/>
  <c r="K49" i="17"/>
  <c r="K48" i="17"/>
  <c r="K47" i="17"/>
  <c r="K46" i="17"/>
  <c r="K45" i="17"/>
  <c r="K44" i="17"/>
  <c r="K43" i="17"/>
  <c r="K42" i="17"/>
  <c r="K41" i="17"/>
  <c r="K40" i="17"/>
  <c r="K39" i="17"/>
  <c r="K38" i="17"/>
  <c r="K37" i="17"/>
  <c r="K36" i="17"/>
  <c r="K35" i="17"/>
  <c r="K34" i="17"/>
  <c r="K33" i="17"/>
  <c r="L60" i="16"/>
  <c r="L59" i="16"/>
  <c r="L58" i="16"/>
  <c r="L57" i="16"/>
  <c r="L56" i="16"/>
  <c r="L55" i="16"/>
  <c r="L54" i="16"/>
  <c r="L53" i="16"/>
  <c r="L52" i="16"/>
  <c r="L51" i="16"/>
  <c r="L50" i="16"/>
  <c r="L49" i="16"/>
  <c r="L48" i="16"/>
  <c r="L47" i="16"/>
  <c r="L46" i="16"/>
  <c r="L45" i="16"/>
  <c r="L44" i="16"/>
  <c r="L43" i="16"/>
  <c r="L42" i="16"/>
  <c r="L41" i="16"/>
  <c r="L40" i="16"/>
  <c r="L39" i="16"/>
  <c r="L38" i="16"/>
  <c r="L37" i="16"/>
  <c r="L36" i="16"/>
  <c r="L35" i="16"/>
  <c r="L34" i="16"/>
  <c r="L33" i="16"/>
  <c r="L60" i="15"/>
  <c r="L59" i="15"/>
  <c r="L58" i="15"/>
  <c r="L57" i="15"/>
  <c r="L56" i="15"/>
  <c r="L55" i="15"/>
  <c r="L54" i="15"/>
  <c r="L53" i="15"/>
  <c r="L52" i="15"/>
  <c r="L51" i="15"/>
  <c r="L50" i="15"/>
  <c r="L49" i="15"/>
  <c r="L48" i="15"/>
  <c r="L47" i="15"/>
  <c r="L46" i="15"/>
  <c r="L45" i="15"/>
  <c r="L44" i="15"/>
  <c r="L43" i="15"/>
  <c r="L42" i="15"/>
  <c r="L41" i="15"/>
  <c r="L40" i="15"/>
  <c r="L39" i="15"/>
  <c r="L38" i="15"/>
  <c r="L37" i="15"/>
  <c r="L36" i="15"/>
  <c r="L35" i="15"/>
  <c r="L34" i="15"/>
  <c r="L33" i="15"/>
  <c r="L60" i="13"/>
  <c r="L59" i="13"/>
  <c r="L58" i="13"/>
  <c r="L57" i="13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35" i="13"/>
  <c r="L34" i="13"/>
  <c r="L33" i="13"/>
  <c r="L61" i="12"/>
  <c r="L60" i="12"/>
  <c r="L59" i="12"/>
  <c r="L58" i="12"/>
  <c r="L57" i="12"/>
  <c r="L56" i="12"/>
  <c r="L55" i="12"/>
  <c r="L54" i="12"/>
  <c r="L53" i="12"/>
  <c r="L52" i="12"/>
  <c r="L51" i="12"/>
  <c r="L50" i="12"/>
  <c r="L49" i="12"/>
  <c r="L48" i="12"/>
  <c r="L47" i="12"/>
  <c r="L46" i="12"/>
  <c r="L45" i="12"/>
  <c r="L44" i="12"/>
  <c r="L43" i="12"/>
  <c r="L42" i="12"/>
  <c r="L41" i="12"/>
  <c r="L40" i="12"/>
  <c r="L39" i="12"/>
  <c r="L38" i="12"/>
  <c r="L37" i="12"/>
  <c r="L36" i="12"/>
  <c r="L35" i="12"/>
  <c r="L34" i="12"/>
  <c r="L33" i="12"/>
  <c r="L60" i="11"/>
  <c r="L59" i="11"/>
  <c r="L58" i="11"/>
  <c r="L57" i="11"/>
  <c r="L56" i="11"/>
  <c r="L55" i="11"/>
  <c r="L54" i="11"/>
  <c r="L53" i="11"/>
  <c r="L52" i="11"/>
  <c r="L51" i="11"/>
  <c r="L50" i="11"/>
  <c r="L49" i="11"/>
  <c r="L48" i="11"/>
  <c r="L47" i="11"/>
  <c r="L46" i="11"/>
  <c r="L45" i="11"/>
  <c r="L44" i="11"/>
  <c r="L43" i="11"/>
  <c r="L42" i="11"/>
  <c r="L41" i="11"/>
  <c r="L40" i="11"/>
  <c r="L39" i="11"/>
  <c r="L38" i="11"/>
  <c r="L37" i="11"/>
  <c r="L36" i="11"/>
  <c r="L35" i="11"/>
  <c r="L34" i="11"/>
  <c r="L33" i="11"/>
  <c r="L61" i="10"/>
  <c r="L60" i="10"/>
  <c r="L59" i="10"/>
  <c r="L58" i="10"/>
  <c r="L57" i="10"/>
  <c r="L56" i="10"/>
  <c r="L55" i="10"/>
  <c r="L54" i="10"/>
  <c r="L53" i="10"/>
  <c r="L52" i="10"/>
  <c r="L51" i="10"/>
  <c r="L50" i="10"/>
  <c r="L49" i="10"/>
  <c r="L48" i="10"/>
  <c r="L47" i="10"/>
  <c r="L46" i="10"/>
  <c r="L45" i="10"/>
  <c r="L44" i="10"/>
  <c r="L43" i="10"/>
  <c r="L42" i="10"/>
  <c r="L41" i="10"/>
  <c r="L40" i="10"/>
  <c r="L39" i="10"/>
  <c r="L38" i="10"/>
  <c r="L37" i="10"/>
  <c r="L36" i="10"/>
  <c r="L35" i="10"/>
  <c r="L34" i="10"/>
  <c r="L33" i="10"/>
  <c r="L61" i="9"/>
  <c r="L60" i="9"/>
  <c r="L59" i="9"/>
  <c r="L58" i="9"/>
  <c r="L57" i="9"/>
  <c r="L56" i="9"/>
  <c r="L55" i="9"/>
  <c r="L54" i="9"/>
  <c r="L53" i="9"/>
  <c r="L52" i="9"/>
  <c r="L51" i="9"/>
  <c r="L50" i="9"/>
  <c r="L49" i="9"/>
  <c r="L48" i="9"/>
  <c r="L47" i="9"/>
  <c r="L46" i="9"/>
  <c r="L45" i="9"/>
  <c r="L44" i="9"/>
  <c r="L43" i="9"/>
  <c r="L42" i="9"/>
  <c r="L41" i="9"/>
  <c r="L40" i="9"/>
  <c r="L39" i="9"/>
  <c r="L38" i="9"/>
  <c r="L37" i="9"/>
  <c r="L36" i="9"/>
  <c r="L35" i="9"/>
  <c r="L34" i="9"/>
  <c r="L33" i="9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61" i="5"/>
  <c r="L60" i="5"/>
  <c r="L59" i="5"/>
  <c r="L58" i="5"/>
  <c r="L57" i="5"/>
  <c r="L56" i="5"/>
  <c r="L55" i="5"/>
  <c r="L54" i="5"/>
  <c r="L53" i="5"/>
  <c r="L52" i="5"/>
  <c r="L51" i="5"/>
  <c r="L50" i="5"/>
  <c r="L49" i="5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64" i="3" s="1"/>
  <c r="L39" i="3"/>
  <c r="L38" i="3"/>
  <c r="L37" i="3"/>
  <c r="L36" i="3"/>
  <c r="L35" i="3"/>
  <c r="L34" i="3"/>
  <c r="L33" i="3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63" i="1"/>
  <c r="L62" i="1"/>
  <c r="L61" i="1"/>
  <c r="L63" i="2"/>
  <c r="L62" i="2"/>
  <c r="L61" i="2"/>
  <c r="L60" i="2"/>
  <c r="L59" i="2"/>
  <c r="L58" i="2"/>
  <c r="L63" i="3"/>
  <c r="L62" i="3"/>
  <c r="L61" i="3"/>
  <c r="L63" i="4"/>
  <c r="L62" i="4"/>
  <c r="L61" i="4"/>
  <c r="L63" i="5"/>
  <c r="L62" i="5"/>
  <c r="L63" i="6"/>
  <c r="L62" i="6"/>
  <c r="L63" i="7"/>
  <c r="L62" i="7"/>
  <c r="L63" i="8"/>
  <c r="L62" i="8"/>
  <c r="L61" i="8"/>
  <c r="L63" i="9"/>
  <c r="L62" i="9"/>
  <c r="L63" i="10"/>
  <c r="L62" i="10"/>
  <c r="L63" i="11"/>
  <c r="L62" i="11"/>
  <c r="L61" i="11"/>
  <c r="L63" i="12"/>
  <c r="L62" i="12"/>
  <c r="L63" i="13"/>
  <c r="L62" i="13"/>
  <c r="L61" i="13"/>
  <c r="L63" i="15"/>
  <c r="L62" i="15"/>
  <c r="L61" i="15"/>
  <c r="L63" i="16"/>
  <c r="L62" i="16"/>
  <c r="L61" i="16"/>
  <c r="K63" i="17"/>
  <c r="K62" i="17"/>
  <c r="K61" i="17"/>
  <c r="L63" i="18"/>
  <c r="L62" i="18"/>
  <c r="L61" i="18"/>
  <c r="L63" i="22"/>
  <c r="L62" i="22"/>
  <c r="L63" i="29"/>
  <c r="L62" i="29"/>
  <c r="L63" i="35"/>
  <c r="L62" i="35"/>
  <c r="L63" i="36"/>
  <c r="L62" i="36"/>
  <c r="L63" i="37"/>
  <c r="L62" i="37"/>
  <c r="L63" i="40"/>
  <c r="L62" i="40"/>
  <c r="L61" i="40"/>
  <c r="L63" i="42"/>
  <c r="L62" i="42"/>
  <c r="L63" i="44"/>
  <c r="L62" i="44"/>
  <c r="L63" i="45"/>
  <c r="L62" i="45"/>
  <c r="L61" i="45"/>
  <c r="L63" i="50"/>
  <c r="L62" i="50"/>
  <c r="L61" i="50"/>
  <c r="L63" i="52"/>
  <c r="L62" i="52"/>
  <c r="L63" i="53"/>
  <c r="L62" i="53"/>
  <c r="L63" i="56"/>
  <c r="L62" i="56"/>
  <c r="L63" i="57"/>
  <c r="L62" i="57"/>
  <c r="L61" i="57"/>
  <c r="L63" i="61"/>
  <c r="L63" i="62"/>
  <c r="L63" i="65"/>
  <c r="L62" i="65"/>
  <c r="L63" i="66"/>
  <c r="L63" i="67"/>
  <c r="L63" i="68"/>
  <c r="L63" i="69"/>
  <c r="L62" i="69"/>
  <c r="L61" i="69"/>
  <c r="G63" i="71"/>
  <c r="G62" i="71"/>
  <c r="G61" i="71"/>
  <c r="L33" i="17"/>
  <c r="L34" i="17" s="1"/>
  <c r="J64" i="76"/>
  <c r="I64" i="76"/>
  <c r="H64" i="76"/>
  <c r="C19" i="76" s="1"/>
  <c r="E19" i="76" s="1"/>
  <c r="G64" i="76"/>
  <c r="C17" i="76" s="1"/>
  <c r="E17" i="76" s="1"/>
  <c r="F64" i="76"/>
  <c r="C25" i="76" s="1"/>
  <c r="E64" i="76"/>
  <c r="C15" i="76" s="1"/>
  <c r="E15" i="76" s="1"/>
  <c r="D64" i="76"/>
  <c r="C13" i="76" s="1"/>
  <c r="E13" i="76" s="1"/>
  <c r="C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C21" i="76"/>
  <c r="E21" i="76" s="1"/>
  <c r="E11" i="76"/>
  <c r="C11" i="76"/>
  <c r="J64" i="75"/>
  <c r="I64" i="75"/>
  <c r="H64" i="75"/>
  <c r="G64" i="75"/>
  <c r="C17" i="75" s="1"/>
  <c r="E17" i="75" s="1"/>
  <c r="F64" i="75"/>
  <c r="C25" i="75" s="1"/>
  <c r="E64" i="75"/>
  <c r="C15" i="75" s="1"/>
  <c r="E15" i="75" s="1"/>
  <c r="D64" i="75"/>
  <c r="J9" i="75" s="1"/>
  <c r="C64" i="75"/>
  <c r="A63" i="75"/>
  <c r="A62" i="75"/>
  <c r="A61" i="75"/>
  <c r="A60" i="75"/>
  <c r="A59" i="75"/>
  <c r="A58" i="75"/>
  <c r="A57" i="75"/>
  <c r="A56" i="75"/>
  <c r="A55" i="75"/>
  <c r="A54" i="75"/>
  <c r="A53" i="75"/>
  <c r="A52" i="75"/>
  <c r="A51" i="75"/>
  <c r="A50" i="75"/>
  <c r="A49" i="75"/>
  <c r="A48" i="75"/>
  <c r="A47" i="75"/>
  <c r="A46" i="75"/>
  <c r="A45" i="75"/>
  <c r="A44" i="75"/>
  <c r="A43" i="75"/>
  <c r="A42" i="75"/>
  <c r="A41" i="75"/>
  <c r="A40" i="75"/>
  <c r="A39" i="75"/>
  <c r="A38" i="75"/>
  <c r="A37" i="75"/>
  <c r="A36" i="75"/>
  <c r="A35" i="75"/>
  <c r="A34" i="75"/>
  <c r="A33" i="75"/>
  <c r="C21" i="75"/>
  <c r="E21" i="75" s="1"/>
  <c r="C19" i="75"/>
  <c r="E19" i="75" s="1"/>
  <c r="E11" i="75"/>
  <c r="C11" i="75"/>
  <c r="J64" i="74"/>
  <c r="I64" i="74"/>
  <c r="H64" i="74"/>
  <c r="G64" i="74"/>
  <c r="C17" i="74" s="1"/>
  <c r="E17" i="74" s="1"/>
  <c r="F64" i="74"/>
  <c r="C25" i="74" s="1"/>
  <c r="E64" i="74"/>
  <c r="C15" i="74" s="1"/>
  <c r="E15" i="74" s="1"/>
  <c r="D64" i="74"/>
  <c r="J9" i="74" s="1"/>
  <c r="C64" i="74"/>
  <c r="A63" i="74"/>
  <c r="A62" i="74"/>
  <c r="A61" i="74"/>
  <c r="A60" i="74"/>
  <c r="A59" i="74"/>
  <c r="A58" i="74"/>
  <c r="A57" i="74"/>
  <c r="A56" i="74"/>
  <c r="A55" i="74"/>
  <c r="A54" i="74"/>
  <c r="A53" i="74"/>
  <c r="A52" i="74"/>
  <c r="A51" i="74"/>
  <c r="A50" i="74"/>
  <c r="A49" i="74"/>
  <c r="A48" i="74"/>
  <c r="A47" i="74"/>
  <c r="A46" i="74"/>
  <c r="A45" i="74"/>
  <c r="A44" i="74"/>
  <c r="A43" i="74"/>
  <c r="A42" i="74"/>
  <c r="A41" i="74"/>
  <c r="A40" i="74"/>
  <c r="A39" i="74"/>
  <c r="A38" i="74"/>
  <c r="A37" i="74"/>
  <c r="A36" i="74"/>
  <c r="A35" i="74"/>
  <c r="A34" i="74"/>
  <c r="A33" i="74"/>
  <c r="C21" i="74"/>
  <c r="E21" i="74" s="1"/>
  <c r="C19" i="74"/>
  <c r="E19" i="74" s="1"/>
  <c r="E11" i="74"/>
  <c r="C11" i="74"/>
  <c r="J64" i="73"/>
  <c r="I64" i="73"/>
  <c r="H64" i="73"/>
  <c r="G64" i="73"/>
  <c r="C17" i="73" s="1"/>
  <c r="E17" i="73" s="1"/>
  <c r="F64" i="73"/>
  <c r="C25" i="73" s="1"/>
  <c r="E64" i="73"/>
  <c r="C15" i="73" s="1"/>
  <c r="E15" i="73" s="1"/>
  <c r="D64" i="73"/>
  <c r="J9" i="73" s="1"/>
  <c r="C64" i="73"/>
  <c r="A63" i="73"/>
  <c r="A62" i="73"/>
  <c r="A61" i="73"/>
  <c r="A60" i="73"/>
  <c r="A59" i="73"/>
  <c r="A58" i="73"/>
  <c r="A57" i="73"/>
  <c r="A56" i="73"/>
  <c r="A55" i="73"/>
  <c r="A54" i="73"/>
  <c r="A53" i="73"/>
  <c r="A52" i="73"/>
  <c r="A51" i="73"/>
  <c r="A50" i="73"/>
  <c r="A49" i="73"/>
  <c r="A48" i="73"/>
  <c r="A47" i="73"/>
  <c r="A46" i="73"/>
  <c r="A45" i="73"/>
  <c r="A44" i="73"/>
  <c r="A43" i="73"/>
  <c r="A42" i="73"/>
  <c r="A41" i="73"/>
  <c r="A40" i="73"/>
  <c r="A39" i="73"/>
  <c r="A38" i="73"/>
  <c r="A37" i="73"/>
  <c r="A36" i="73"/>
  <c r="A35" i="73"/>
  <c r="A34" i="73"/>
  <c r="A33" i="73"/>
  <c r="C21" i="73"/>
  <c r="E21" i="73" s="1"/>
  <c r="C19" i="73"/>
  <c r="E19" i="73" s="1"/>
  <c r="E11" i="73"/>
  <c r="C11" i="73"/>
  <c r="J64" i="72"/>
  <c r="I64" i="72"/>
  <c r="H64" i="72"/>
  <c r="G64" i="72"/>
  <c r="C17" i="72" s="1"/>
  <c r="E17" i="72" s="1"/>
  <c r="F64" i="72"/>
  <c r="C25" i="72" s="1"/>
  <c r="E64" i="72"/>
  <c r="C15" i="72" s="1"/>
  <c r="E15" i="72" s="1"/>
  <c r="D64" i="72"/>
  <c r="C13" i="72" s="1"/>
  <c r="E13" i="72" s="1"/>
  <c r="C64" i="72"/>
  <c r="A63" i="72"/>
  <c r="A62" i="72"/>
  <c r="A61" i="72"/>
  <c r="A60" i="72"/>
  <c r="A59" i="72"/>
  <c r="A58" i="72"/>
  <c r="A57" i="72"/>
  <c r="A56" i="72"/>
  <c r="A55" i="72"/>
  <c r="A54" i="72"/>
  <c r="A53" i="72"/>
  <c r="A52" i="72"/>
  <c r="A51" i="72"/>
  <c r="A50" i="72"/>
  <c r="A49" i="72"/>
  <c r="A48" i="72"/>
  <c r="A47" i="72"/>
  <c r="A46" i="72"/>
  <c r="A45" i="72"/>
  <c r="A44" i="72"/>
  <c r="A43" i="72"/>
  <c r="A42" i="72"/>
  <c r="A41" i="72"/>
  <c r="A40" i="72"/>
  <c r="A39" i="72"/>
  <c r="A38" i="72"/>
  <c r="A37" i="72"/>
  <c r="A36" i="72"/>
  <c r="A35" i="72"/>
  <c r="A34" i="72"/>
  <c r="A33" i="72"/>
  <c r="C21" i="72"/>
  <c r="E21" i="72" s="1"/>
  <c r="C19" i="72"/>
  <c r="E19" i="72" s="1"/>
  <c r="E11" i="72"/>
  <c r="C11" i="72"/>
  <c r="C13" i="59"/>
  <c r="L63" i="59"/>
  <c r="L62" i="59"/>
  <c r="L61" i="59"/>
  <c r="L60" i="59"/>
  <c r="L59" i="59"/>
  <c r="L58" i="59"/>
  <c r="L57" i="59"/>
  <c r="L56" i="59"/>
  <c r="L55" i="59"/>
  <c r="L54" i="59"/>
  <c r="L53" i="59"/>
  <c r="L52" i="59"/>
  <c r="L51" i="59"/>
  <c r="L50" i="59"/>
  <c r="L49" i="59"/>
  <c r="L48" i="59"/>
  <c r="L47" i="59"/>
  <c r="L46" i="59"/>
  <c r="L45" i="59"/>
  <c r="L44" i="59"/>
  <c r="L43" i="59"/>
  <c r="L42" i="59"/>
  <c r="L41" i="59"/>
  <c r="L40" i="59"/>
  <c r="L39" i="59"/>
  <c r="L38" i="59"/>
  <c r="L37" i="59"/>
  <c r="L36" i="59"/>
  <c r="L35" i="59"/>
  <c r="L34" i="59"/>
  <c r="L33" i="59"/>
  <c r="K64" i="57"/>
  <c r="J64" i="57"/>
  <c r="E64" i="57"/>
  <c r="D64" i="57"/>
  <c r="C15" i="56"/>
  <c r="E64" i="56"/>
  <c r="L63" i="55"/>
  <c r="L62" i="55"/>
  <c r="L61" i="55"/>
  <c r="L60" i="55"/>
  <c r="L59" i="55"/>
  <c r="L58" i="55"/>
  <c r="L57" i="55"/>
  <c r="L56" i="55"/>
  <c r="L55" i="55"/>
  <c r="L54" i="55"/>
  <c r="L53" i="55"/>
  <c r="L52" i="55"/>
  <c r="L51" i="55"/>
  <c r="L50" i="55"/>
  <c r="L49" i="55"/>
  <c r="L48" i="55"/>
  <c r="L47" i="55"/>
  <c r="L46" i="55"/>
  <c r="L45" i="55"/>
  <c r="L44" i="55"/>
  <c r="L43" i="55"/>
  <c r="L42" i="55"/>
  <c r="L41" i="55"/>
  <c r="L40" i="55"/>
  <c r="L39" i="55"/>
  <c r="L38" i="55"/>
  <c r="L37" i="55"/>
  <c r="L36" i="55"/>
  <c r="L35" i="55"/>
  <c r="L34" i="55"/>
  <c r="L33" i="55"/>
  <c r="C17" i="52"/>
  <c r="C15" i="52"/>
  <c r="C64" i="52"/>
  <c r="E25" i="52"/>
  <c r="E21" i="52"/>
  <c r="E19" i="52"/>
  <c r="E17" i="52"/>
  <c r="E15" i="52"/>
  <c r="E13" i="52"/>
  <c r="J11" i="52"/>
  <c r="E11" i="52"/>
  <c r="L63" i="41"/>
  <c r="L62" i="41"/>
  <c r="L61" i="41"/>
  <c r="L60" i="41"/>
  <c r="L59" i="41"/>
  <c r="L58" i="41"/>
  <c r="L57" i="41"/>
  <c r="L56" i="41"/>
  <c r="L55" i="41"/>
  <c r="L54" i="41"/>
  <c r="L53" i="41"/>
  <c r="L52" i="41"/>
  <c r="L51" i="41"/>
  <c r="L50" i="41"/>
  <c r="L49" i="41"/>
  <c r="L48" i="41"/>
  <c r="L47" i="41"/>
  <c r="L46" i="41"/>
  <c r="L45" i="41"/>
  <c r="L44" i="41"/>
  <c r="L43" i="41"/>
  <c r="L42" i="41"/>
  <c r="L41" i="41"/>
  <c r="L40" i="41"/>
  <c r="L39" i="41"/>
  <c r="L38" i="41"/>
  <c r="L37" i="41"/>
  <c r="L36" i="41"/>
  <c r="L35" i="41"/>
  <c r="L34" i="41"/>
  <c r="L33" i="41"/>
  <c r="C64" i="37"/>
  <c r="E25" i="37"/>
  <c r="E21" i="37"/>
  <c r="E19" i="37"/>
  <c r="E17" i="37"/>
  <c r="E13" i="37"/>
  <c r="E11" i="37"/>
  <c r="C13" i="32"/>
  <c r="C13" i="33"/>
  <c r="L63" i="34"/>
  <c r="L62" i="34"/>
  <c r="L61" i="34"/>
  <c r="L60" i="34"/>
  <c r="L59" i="34"/>
  <c r="L58" i="34"/>
  <c r="L57" i="34"/>
  <c r="L56" i="34"/>
  <c r="L55" i="34"/>
  <c r="L54" i="34"/>
  <c r="L53" i="34"/>
  <c r="L52" i="34"/>
  <c r="L51" i="34"/>
  <c r="L50" i="34"/>
  <c r="L49" i="34"/>
  <c r="L48" i="34"/>
  <c r="L47" i="34"/>
  <c r="L46" i="34"/>
  <c r="L45" i="34"/>
  <c r="L44" i="34"/>
  <c r="L43" i="34"/>
  <c r="L42" i="34"/>
  <c r="L41" i="34"/>
  <c r="L40" i="34"/>
  <c r="L39" i="34"/>
  <c r="L38" i="34"/>
  <c r="L37" i="34"/>
  <c r="L36" i="34"/>
  <c r="L35" i="34"/>
  <c r="L34" i="34"/>
  <c r="L33" i="34"/>
  <c r="L63" i="33"/>
  <c r="L62" i="33"/>
  <c r="L61" i="33"/>
  <c r="L60" i="33"/>
  <c r="L59" i="33"/>
  <c r="L58" i="33"/>
  <c r="L57" i="33"/>
  <c r="L56" i="33"/>
  <c r="L55" i="33"/>
  <c r="L54" i="33"/>
  <c r="L53" i="33"/>
  <c r="L52" i="33"/>
  <c r="L51" i="33"/>
  <c r="L50" i="33"/>
  <c r="L49" i="33"/>
  <c r="L48" i="33"/>
  <c r="L47" i="33"/>
  <c r="L46" i="33"/>
  <c r="L45" i="33"/>
  <c r="L44" i="33"/>
  <c r="L43" i="33"/>
  <c r="L42" i="33"/>
  <c r="L41" i="33"/>
  <c r="L40" i="33"/>
  <c r="L39" i="33"/>
  <c r="L38" i="33"/>
  <c r="L37" i="33"/>
  <c r="L36" i="33"/>
  <c r="L35" i="33"/>
  <c r="L34" i="33"/>
  <c r="L33" i="33"/>
  <c r="L63" i="32"/>
  <c r="L62" i="32"/>
  <c r="L61" i="32"/>
  <c r="L60" i="32"/>
  <c r="L59" i="32"/>
  <c r="L58" i="32"/>
  <c r="L57" i="32"/>
  <c r="L56" i="32"/>
  <c r="L55" i="32"/>
  <c r="L54" i="32"/>
  <c r="L53" i="32"/>
  <c r="L52" i="32"/>
  <c r="L51" i="32"/>
  <c r="L50" i="32"/>
  <c r="L49" i="32"/>
  <c r="L48" i="32"/>
  <c r="L47" i="32"/>
  <c r="L46" i="32"/>
  <c r="L45" i="32"/>
  <c r="L44" i="32"/>
  <c r="L43" i="32"/>
  <c r="L42" i="32"/>
  <c r="L41" i="32"/>
  <c r="L40" i="32"/>
  <c r="L39" i="32"/>
  <c r="L38" i="32"/>
  <c r="L37" i="32"/>
  <c r="L36" i="32"/>
  <c r="L35" i="32"/>
  <c r="L34" i="32"/>
  <c r="L33" i="32"/>
  <c r="I64" i="65"/>
  <c r="C21" i="65" s="1"/>
  <c r="H64" i="65"/>
  <c r="G64" i="65"/>
  <c r="F64" i="65"/>
  <c r="E64" i="65"/>
  <c r="C15" i="65" s="1"/>
  <c r="D64" i="65"/>
  <c r="C64" i="65"/>
  <c r="I64" i="13"/>
  <c r="H64" i="13"/>
  <c r="G64" i="13"/>
  <c r="F64" i="13"/>
  <c r="E64" i="13"/>
  <c r="D64" i="13"/>
  <c r="C64" i="13"/>
  <c r="I64" i="12"/>
  <c r="H64" i="12"/>
  <c r="G64" i="12"/>
  <c r="F64" i="12"/>
  <c r="E64" i="12"/>
  <c r="D64" i="12"/>
  <c r="C64" i="12"/>
  <c r="I64" i="10"/>
  <c r="H64" i="10"/>
  <c r="G64" i="10"/>
  <c r="F64" i="10"/>
  <c r="E64" i="10"/>
  <c r="D64" i="10"/>
  <c r="C64" i="10"/>
  <c r="I64" i="9"/>
  <c r="H64" i="9"/>
  <c r="G64" i="9"/>
  <c r="F64" i="9"/>
  <c r="E64" i="9"/>
  <c r="D64" i="9"/>
  <c r="C64" i="9"/>
  <c r="C11" i="9" s="1"/>
  <c r="E11" i="9" s="1"/>
  <c r="I64" i="8"/>
  <c r="H64" i="8"/>
  <c r="C19" i="8" s="1"/>
  <c r="E19" i="8" s="1"/>
  <c r="G64" i="8"/>
  <c r="C17" i="8" s="1"/>
  <c r="E17" i="8" s="1"/>
  <c r="F64" i="8"/>
  <c r="C25" i="8" s="1"/>
  <c r="E64" i="8"/>
  <c r="C15" i="8" s="1"/>
  <c r="E15" i="8" s="1"/>
  <c r="D64" i="8"/>
  <c r="C13" i="8" s="1"/>
  <c r="E13" i="8" s="1"/>
  <c r="C64" i="8"/>
  <c r="C11" i="8" s="1"/>
  <c r="E11" i="8" s="1"/>
  <c r="I64" i="4"/>
  <c r="H64" i="4"/>
  <c r="G64" i="4"/>
  <c r="F64" i="4"/>
  <c r="E64" i="4"/>
  <c r="C15" i="4" s="1"/>
  <c r="E15" i="4" s="1"/>
  <c r="D64" i="4"/>
  <c r="C64" i="4"/>
  <c r="C11" i="4" s="1"/>
  <c r="E11" i="4" s="1"/>
  <c r="I64" i="5"/>
  <c r="H64" i="5"/>
  <c r="G64" i="5"/>
  <c r="F64" i="5"/>
  <c r="E64" i="5"/>
  <c r="D64" i="5"/>
  <c r="C13" i="5" s="1"/>
  <c r="E13" i="5" s="1"/>
  <c r="C64" i="5"/>
  <c r="C11" i="5" s="1"/>
  <c r="E11" i="5" s="1"/>
  <c r="C17" i="4"/>
  <c r="E17" i="4" s="1"/>
  <c r="C25" i="4"/>
  <c r="C25" i="5"/>
  <c r="C15" i="5"/>
  <c r="E15" i="5" s="1"/>
  <c r="I64" i="6"/>
  <c r="H64" i="6"/>
  <c r="G64" i="6"/>
  <c r="F64" i="6"/>
  <c r="E64" i="6"/>
  <c r="D64" i="6"/>
  <c r="C64" i="6"/>
  <c r="I64" i="7"/>
  <c r="H64" i="7"/>
  <c r="G64" i="7"/>
  <c r="F64" i="7"/>
  <c r="C25" i="7" s="1"/>
  <c r="E64" i="7"/>
  <c r="C15" i="7" s="1"/>
  <c r="E15" i="7" s="1"/>
  <c r="D64" i="7"/>
  <c r="C64" i="7"/>
  <c r="C11" i="7" s="1"/>
  <c r="E11" i="7" s="1"/>
  <c r="I64" i="11"/>
  <c r="H64" i="11"/>
  <c r="G64" i="11"/>
  <c r="F64" i="11"/>
  <c r="C25" i="11" s="1"/>
  <c r="E64" i="11"/>
  <c r="C15" i="11" s="1"/>
  <c r="E15" i="11" s="1"/>
  <c r="D64" i="11"/>
  <c r="C13" i="11" s="1"/>
  <c r="E13" i="11" s="1"/>
  <c r="C64" i="11"/>
  <c r="C11" i="11" s="1"/>
  <c r="E11" i="11" s="1"/>
  <c r="C17" i="10"/>
  <c r="E17" i="10" s="1"/>
  <c r="C25" i="10"/>
  <c r="C15" i="10"/>
  <c r="E15" i="10" s="1"/>
  <c r="C11" i="10"/>
  <c r="E11" i="10" s="1"/>
  <c r="C17" i="9"/>
  <c r="E17" i="9" s="1"/>
  <c r="C25" i="9"/>
  <c r="E25" i="9" s="1"/>
  <c r="C15" i="9"/>
  <c r="E15" i="9" s="1"/>
  <c r="C13" i="9"/>
  <c r="E13" i="9" s="1"/>
  <c r="C17" i="13"/>
  <c r="E17" i="13" s="1"/>
  <c r="C25" i="13"/>
  <c r="C15" i="13"/>
  <c r="E15" i="13" s="1"/>
  <c r="C13" i="13"/>
  <c r="E13" i="13" s="1"/>
  <c r="C11" i="13"/>
  <c r="E11" i="13" s="1"/>
  <c r="C19" i="12"/>
  <c r="E19" i="12" s="1"/>
  <c r="C17" i="12"/>
  <c r="E17" i="12" s="1"/>
  <c r="C25" i="12"/>
  <c r="E25" i="12" s="1"/>
  <c r="C13" i="12"/>
  <c r="E13" i="12" s="1"/>
  <c r="C11" i="12"/>
  <c r="E11" i="12" s="1"/>
  <c r="A33" i="14"/>
  <c r="L33" i="14"/>
  <c r="A34" i="14"/>
  <c r="L34" i="14"/>
  <c r="A35" i="14"/>
  <c r="L35" i="14"/>
  <c r="A36" i="14"/>
  <c r="L36" i="14"/>
  <c r="A37" i="14"/>
  <c r="L37" i="14"/>
  <c r="A38" i="14"/>
  <c r="L38" i="14"/>
  <c r="A39" i="14"/>
  <c r="L39" i="14"/>
  <c r="A40" i="14"/>
  <c r="L40" i="14"/>
  <c r="A41" i="14"/>
  <c r="L41" i="14"/>
  <c r="A42" i="14"/>
  <c r="L42" i="14"/>
  <c r="A43" i="14"/>
  <c r="L43" i="14"/>
  <c r="A44" i="14"/>
  <c r="L44" i="14"/>
  <c r="A45" i="14"/>
  <c r="L45" i="14"/>
  <c r="A46" i="14"/>
  <c r="L46" i="14"/>
  <c r="A47" i="14"/>
  <c r="L47" i="14"/>
  <c r="A48" i="14"/>
  <c r="L48" i="14"/>
  <c r="A49" i="14"/>
  <c r="L49" i="14"/>
  <c r="A50" i="14"/>
  <c r="L50" i="14"/>
  <c r="A51" i="14"/>
  <c r="L51" i="14"/>
  <c r="A52" i="14"/>
  <c r="L52" i="14"/>
  <c r="A53" i="14"/>
  <c r="L53" i="14"/>
  <c r="A54" i="14"/>
  <c r="L54" i="14"/>
  <c r="A55" i="14"/>
  <c r="L55" i="14"/>
  <c r="A56" i="14"/>
  <c r="L56" i="14"/>
  <c r="A57" i="14"/>
  <c r="L57" i="14"/>
  <c r="A58" i="14"/>
  <c r="L58" i="14"/>
  <c r="A59" i="14"/>
  <c r="L59" i="14"/>
  <c r="A60" i="14"/>
  <c r="L60" i="14"/>
  <c r="A61" i="14"/>
  <c r="L61" i="14"/>
  <c r="A62" i="14"/>
  <c r="L62" i="14"/>
  <c r="A63" i="14"/>
  <c r="L63" i="14"/>
  <c r="C64" i="14"/>
  <c r="D64" i="14"/>
  <c r="E64" i="14"/>
  <c r="F64" i="14"/>
  <c r="G64" i="14"/>
  <c r="H64" i="14"/>
  <c r="I64" i="14"/>
  <c r="J64" i="14"/>
  <c r="K64" i="14"/>
  <c r="L64" i="14"/>
  <c r="I64" i="15"/>
  <c r="H64" i="15"/>
  <c r="C19" i="15" s="1"/>
  <c r="E19" i="15" s="1"/>
  <c r="G64" i="15"/>
  <c r="C17" i="15" s="1"/>
  <c r="E17" i="15" s="1"/>
  <c r="F64" i="15"/>
  <c r="C25" i="15" s="1"/>
  <c r="E64" i="15"/>
  <c r="C15" i="15" s="1"/>
  <c r="D64" i="15"/>
  <c r="C13" i="15" s="1"/>
  <c r="E13" i="15" s="1"/>
  <c r="C64" i="15"/>
  <c r="C11" i="15" s="1"/>
  <c r="E11" i="15" s="1"/>
  <c r="I64" i="16"/>
  <c r="H64" i="16"/>
  <c r="G64" i="16"/>
  <c r="F64" i="16"/>
  <c r="C25" i="16" s="1"/>
  <c r="E64" i="16"/>
  <c r="D64" i="16"/>
  <c r="C64" i="16"/>
  <c r="C11" i="16" s="1"/>
  <c r="E11" i="16" s="1"/>
  <c r="I64" i="17"/>
  <c r="H64" i="17"/>
  <c r="C19" i="17" s="1"/>
  <c r="E19" i="17" s="1"/>
  <c r="G64" i="17"/>
  <c r="F64" i="17"/>
  <c r="E64" i="17"/>
  <c r="D64" i="17"/>
  <c r="C13" i="17" s="1"/>
  <c r="E13" i="17" s="1"/>
  <c r="C64" i="17"/>
  <c r="I64" i="18"/>
  <c r="H64" i="18"/>
  <c r="G64" i="18"/>
  <c r="F64" i="18"/>
  <c r="E64" i="18"/>
  <c r="D64" i="18"/>
  <c r="J9" i="18" s="1"/>
  <c r="C64" i="18"/>
  <c r="C11" i="18" s="1"/>
  <c r="E11" i="18" s="1"/>
  <c r="I64" i="19"/>
  <c r="H64" i="19"/>
  <c r="G64" i="19"/>
  <c r="F64" i="19"/>
  <c r="C25" i="19" s="1"/>
  <c r="E64" i="19"/>
  <c r="C15" i="19" s="1"/>
  <c r="E15" i="19" s="1"/>
  <c r="D64" i="19"/>
  <c r="C64" i="19"/>
  <c r="C11" i="19" s="1"/>
  <c r="E11" i="19" s="1"/>
  <c r="I64" i="22"/>
  <c r="H64" i="22"/>
  <c r="G64" i="22"/>
  <c r="F64" i="22"/>
  <c r="C25" i="22" s="1"/>
  <c r="E64" i="22"/>
  <c r="D64" i="22"/>
  <c r="C15" i="22" s="1"/>
  <c r="E15" i="22" s="1"/>
  <c r="C64" i="22"/>
  <c r="C13" i="22" s="1"/>
  <c r="E13" i="22" s="1"/>
  <c r="C17" i="22"/>
  <c r="E17" i="22" s="1"/>
  <c r="C21" i="22"/>
  <c r="E21" i="22" s="1"/>
  <c r="I64" i="23"/>
  <c r="H64" i="23"/>
  <c r="G64" i="23"/>
  <c r="F64" i="23"/>
  <c r="C25" i="23" s="1"/>
  <c r="E25" i="23" s="1"/>
  <c r="E64" i="23"/>
  <c r="C15" i="23" s="1"/>
  <c r="E15" i="23" s="1"/>
  <c r="D64" i="23"/>
  <c r="C13" i="23" s="1"/>
  <c r="E13" i="23" s="1"/>
  <c r="C64" i="23"/>
  <c r="C11" i="23" s="1"/>
  <c r="E11" i="23" s="1"/>
  <c r="I64" i="29"/>
  <c r="H64" i="29"/>
  <c r="G64" i="29"/>
  <c r="F64" i="29"/>
  <c r="E64" i="29"/>
  <c r="D64" i="29"/>
  <c r="C64" i="29"/>
  <c r="C11" i="29" s="1"/>
  <c r="E11" i="29" s="1"/>
  <c r="C64" i="30"/>
  <c r="D64" i="30"/>
  <c r="C25" i="30"/>
  <c r="E25" i="30" s="1"/>
  <c r="C13" i="30"/>
  <c r="E13" i="30" s="1"/>
  <c r="I64" i="31"/>
  <c r="H64" i="31"/>
  <c r="G64" i="31"/>
  <c r="F64" i="31"/>
  <c r="E64" i="31"/>
  <c r="D64" i="31"/>
  <c r="C13" i="31" s="1"/>
  <c r="E13" i="31" s="1"/>
  <c r="C64" i="31"/>
  <c r="C11" i="31" s="1"/>
  <c r="E11" i="31" s="1"/>
  <c r="I64" i="32"/>
  <c r="H64" i="32"/>
  <c r="G64" i="32"/>
  <c r="F64" i="32"/>
  <c r="E64" i="32"/>
  <c r="C15" i="32" s="1"/>
  <c r="E15" i="32" s="1"/>
  <c r="D64" i="32"/>
  <c r="J9" i="32" s="1"/>
  <c r="C64" i="32"/>
  <c r="E13" i="32" s="1"/>
  <c r="I64" i="33"/>
  <c r="H64" i="33"/>
  <c r="G64" i="33"/>
  <c r="F64" i="33"/>
  <c r="E64" i="33"/>
  <c r="C15" i="33" s="1"/>
  <c r="E15" i="33" s="1"/>
  <c r="D64" i="33"/>
  <c r="C64" i="33"/>
  <c r="E13" i="33" s="1"/>
  <c r="I64" i="34"/>
  <c r="H64" i="34"/>
  <c r="C19" i="34" s="1"/>
  <c r="E19" i="34" s="1"/>
  <c r="G64" i="34"/>
  <c r="C17" i="34" s="1"/>
  <c r="E17" i="34" s="1"/>
  <c r="F64" i="34"/>
  <c r="E64" i="34"/>
  <c r="C15" i="34" s="1"/>
  <c r="E15" i="34" s="1"/>
  <c r="D64" i="34"/>
  <c r="C13" i="34" s="1"/>
  <c r="C64" i="34"/>
  <c r="I64" i="35"/>
  <c r="H64" i="35"/>
  <c r="G64" i="35"/>
  <c r="F64" i="35"/>
  <c r="E64" i="35"/>
  <c r="C15" i="35" s="1"/>
  <c r="E15" i="35" s="1"/>
  <c r="D64" i="35"/>
  <c r="C25" i="35" s="1"/>
  <c r="C64" i="35"/>
  <c r="I64" i="36"/>
  <c r="H64" i="36"/>
  <c r="G64" i="36"/>
  <c r="F64" i="36"/>
  <c r="E64" i="36"/>
  <c r="C19" i="36" s="1"/>
  <c r="E19" i="36" s="1"/>
  <c r="D64" i="36"/>
  <c r="C25" i="36" s="1"/>
  <c r="E25" i="36" s="1"/>
  <c r="C64" i="36"/>
  <c r="C15" i="36" s="1"/>
  <c r="E15" i="36" s="1"/>
  <c r="I64" i="37"/>
  <c r="H64" i="37"/>
  <c r="C19" i="37" s="1"/>
  <c r="G64" i="37"/>
  <c r="C17" i="37" s="1"/>
  <c r="F64" i="37"/>
  <c r="E64" i="37"/>
  <c r="C15" i="37" s="1"/>
  <c r="E15" i="37" s="1"/>
  <c r="D64" i="37"/>
  <c r="I64" i="40"/>
  <c r="H64" i="40"/>
  <c r="G64" i="40"/>
  <c r="F64" i="40"/>
  <c r="C25" i="40" s="1"/>
  <c r="E25" i="40" s="1"/>
  <c r="E64" i="40"/>
  <c r="C15" i="40" s="1"/>
  <c r="E15" i="40" s="1"/>
  <c r="D64" i="40"/>
  <c r="C13" i="40" s="1"/>
  <c r="E13" i="40" s="1"/>
  <c r="C64" i="40"/>
  <c r="C11" i="40" s="1"/>
  <c r="E11" i="40" s="1"/>
  <c r="I64" i="39"/>
  <c r="H64" i="39"/>
  <c r="C19" i="39" s="1"/>
  <c r="E19" i="39" s="1"/>
  <c r="G64" i="39"/>
  <c r="C17" i="39" s="1"/>
  <c r="E17" i="39" s="1"/>
  <c r="F64" i="39"/>
  <c r="C25" i="39" s="1"/>
  <c r="E64" i="39"/>
  <c r="C15" i="39" s="1"/>
  <c r="E15" i="39" s="1"/>
  <c r="D64" i="39"/>
  <c r="C13" i="39" s="1"/>
  <c r="E13" i="39" s="1"/>
  <c r="C64" i="39"/>
  <c r="C11" i="39" s="1"/>
  <c r="E11" i="39" s="1"/>
  <c r="I64" i="69"/>
  <c r="H64" i="69"/>
  <c r="G64" i="69"/>
  <c r="F64" i="69"/>
  <c r="E64" i="69"/>
  <c r="D64" i="69"/>
  <c r="C64" i="69"/>
  <c r="I64" i="68"/>
  <c r="H64" i="68"/>
  <c r="G64" i="68"/>
  <c r="F64" i="68"/>
  <c r="E64" i="68"/>
  <c r="C15" i="68" s="1"/>
  <c r="E15" i="68" s="1"/>
  <c r="D64" i="68"/>
  <c r="C64" i="68"/>
  <c r="C11" i="68" s="1"/>
  <c r="E11" i="68" s="1"/>
  <c r="I64" i="67"/>
  <c r="H64" i="67"/>
  <c r="G64" i="67"/>
  <c r="F64" i="67"/>
  <c r="E64" i="67"/>
  <c r="D64" i="67"/>
  <c r="J9" i="67" s="1"/>
  <c r="C64" i="67"/>
  <c r="C11" i="67" s="1"/>
  <c r="E11" i="67" s="1"/>
  <c r="I64" i="66"/>
  <c r="H64" i="66"/>
  <c r="G64" i="66"/>
  <c r="F64" i="66"/>
  <c r="C25" i="66" s="1"/>
  <c r="E25" i="66" s="1"/>
  <c r="E64" i="66"/>
  <c r="C15" i="66" s="1"/>
  <c r="E15" i="66" s="1"/>
  <c r="D64" i="66"/>
  <c r="C64" i="66"/>
  <c r="C11" i="66" s="1"/>
  <c r="E11" i="66" s="1"/>
  <c r="I64" i="62"/>
  <c r="H64" i="62"/>
  <c r="G64" i="62"/>
  <c r="F64" i="62"/>
  <c r="C25" i="62" s="1"/>
  <c r="E25" i="62" s="1"/>
  <c r="E64" i="62"/>
  <c r="C15" i="62" s="1"/>
  <c r="E15" i="62" s="1"/>
  <c r="D64" i="62"/>
  <c r="C13" i="62" s="1"/>
  <c r="E13" i="62" s="1"/>
  <c r="C64" i="62"/>
  <c r="C11" i="62" s="1"/>
  <c r="E11" i="62" s="1"/>
  <c r="I64" i="61"/>
  <c r="H64" i="61"/>
  <c r="C19" i="61" s="1"/>
  <c r="E19" i="61" s="1"/>
  <c r="G64" i="61"/>
  <c r="C17" i="61" s="1"/>
  <c r="E17" i="61" s="1"/>
  <c r="F64" i="61"/>
  <c r="C25" i="61" s="1"/>
  <c r="E25" i="61" s="1"/>
  <c r="E64" i="61"/>
  <c r="C15" i="61" s="1"/>
  <c r="E15" i="61" s="1"/>
  <c r="D64" i="61"/>
  <c r="C64" i="61"/>
  <c r="C11" i="61" s="1"/>
  <c r="E11" i="61" s="1"/>
  <c r="I64" i="60"/>
  <c r="H64" i="60"/>
  <c r="G64" i="60"/>
  <c r="C17" i="60" s="1"/>
  <c r="E17" i="60" s="1"/>
  <c r="F64" i="60"/>
  <c r="C25" i="60" s="1"/>
  <c r="E25" i="60" s="1"/>
  <c r="E64" i="60"/>
  <c r="C15" i="60" s="1"/>
  <c r="E15" i="60" s="1"/>
  <c r="D64" i="60"/>
  <c r="C13" i="60" s="1"/>
  <c r="E13" i="60" s="1"/>
  <c r="C64" i="60"/>
  <c r="C11" i="60" s="1"/>
  <c r="E11" i="60" s="1"/>
  <c r="I64" i="55"/>
  <c r="H64" i="55"/>
  <c r="G64" i="55"/>
  <c r="F64" i="55"/>
  <c r="E64" i="55"/>
  <c r="D64" i="55"/>
  <c r="C25" i="55" s="1"/>
  <c r="C64" i="55"/>
  <c r="C13" i="55" s="1"/>
  <c r="E13" i="55" s="1"/>
  <c r="I64" i="54"/>
  <c r="H64" i="54"/>
  <c r="G64" i="54"/>
  <c r="F64" i="54"/>
  <c r="E64" i="54"/>
  <c r="D64" i="54"/>
  <c r="C64" i="54"/>
  <c r="C11" i="54" s="1"/>
  <c r="E11" i="54" s="1"/>
  <c r="I64" i="52"/>
  <c r="H64" i="52"/>
  <c r="G64" i="52"/>
  <c r="F64" i="52"/>
  <c r="C25" i="52" s="1"/>
  <c r="E64" i="52"/>
  <c r="D64" i="52"/>
  <c r="I64" i="51"/>
  <c r="H64" i="51"/>
  <c r="G64" i="51"/>
  <c r="F64" i="51"/>
  <c r="C25" i="51" s="1"/>
  <c r="E25" i="51" s="1"/>
  <c r="E64" i="51"/>
  <c r="D64" i="51"/>
  <c r="J9" i="51" s="1"/>
  <c r="C64" i="51"/>
  <c r="C11" i="51" s="1"/>
  <c r="E11" i="51" s="1"/>
  <c r="I64" i="50"/>
  <c r="H64" i="50"/>
  <c r="G64" i="50"/>
  <c r="F64" i="50"/>
  <c r="E64" i="50"/>
  <c r="D64" i="50"/>
  <c r="C13" i="50" s="1"/>
  <c r="E13" i="50" s="1"/>
  <c r="C64" i="50"/>
  <c r="C11" i="50" s="1"/>
  <c r="E11" i="50" s="1"/>
  <c r="I64" i="49"/>
  <c r="H64" i="49"/>
  <c r="G64" i="49"/>
  <c r="F64" i="49"/>
  <c r="E64" i="49"/>
  <c r="D64" i="49"/>
  <c r="C13" i="49" s="1"/>
  <c r="E13" i="49" s="1"/>
  <c r="C64" i="49"/>
  <c r="C11" i="49" s="1"/>
  <c r="E11" i="49" s="1"/>
  <c r="I64" i="45"/>
  <c r="H64" i="45"/>
  <c r="C19" i="45" s="1"/>
  <c r="E19" i="45" s="1"/>
  <c r="G64" i="45"/>
  <c r="C17" i="45" s="1"/>
  <c r="E17" i="45" s="1"/>
  <c r="F64" i="45"/>
  <c r="E64" i="45"/>
  <c r="D64" i="45"/>
  <c r="C64" i="45"/>
  <c r="C11" i="45" s="1"/>
  <c r="E11" i="45" s="1"/>
  <c r="I64" i="44"/>
  <c r="H64" i="44"/>
  <c r="G64" i="44"/>
  <c r="F64" i="44"/>
  <c r="E64" i="44"/>
  <c r="D64" i="44"/>
  <c r="C64" i="44"/>
  <c r="I64" i="43"/>
  <c r="H64" i="43"/>
  <c r="G64" i="43"/>
  <c r="F64" i="43"/>
  <c r="E64" i="43"/>
  <c r="D64" i="43"/>
  <c r="C64" i="43"/>
  <c r="I64" i="42"/>
  <c r="H64" i="42"/>
  <c r="G64" i="42"/>
  <c r="F64" i="42"/>
  <c r="C25" i="42" s="1"/>
  <c r="E25" i="42" s="1"/>
  <c r="E64" i="42"/>
  <c r="C15" i="42" s="1"/>
  <c r="E15" i="42" s="1"/>
  <c r="D64" i="42"/>
  <c r="C13" i="42" s="1"/>
  <c r="E13" i="42" s="1"/>
  <c r="C64" i="42"/>
  <c r="C11" i="42" s="1"/>
  <c r="E11" i="42" s="1"/>
  <c r="I64" i="41"/>
  <c r="H64" i="41"/>
  <c r="G64" i="41"/>
  <c r="C17" i="41" s="1"/>
  <c r="E17" i="41" s="1"/>
  <c r="F64" i="41"/>
  <c r="E64" i="41"/>
  <c r="C15" i="41" s="1"/>
  <c r="E15" i="41" s="1"/>
  <c r="D64" i="41"/>
  <c r="C64" i="41"/>
  <c r="C19" i="42"/>
  <c r="E19" i="42" s="1"/>
  <c r="C17" i="42"/>
  <c r="E17" i="42" s="1"/>
  <c r="C25" i="45"/>
  <c r="E25" i="45" s="1"/>
  <c r="C15" i="45"/>
  <c r="E15" i="45" s="1"/>
  <c r="C13" i="45"/>
  <c r="E13" i="45" s="1"/>
  <c r="C15" i="49"/>
  <c r="E15" i="49" s="1"/>
  <c r="C19" i="50"/>
  <c r="E19" i="50" s="1"/>
  <c r="I64" i="53"/>
  <c r="H64" i="53"/>
  <c r="G64" i="53"/>
  <c r="F64" i="53"/>
  <c r="E64" i="53"/>
  <c r="D64" i="53"/>
  <c r="C25" i="53" s="1"/>
  <c r="C64" i="53"/>
  <c r="C15" i="53" s="1"/>
  <c r="E15" i="53" s="1"/>
  <c r="I64" i="59"/>
  <c r="C21" i="59" s="1"/>
  <c r="E21" i="59" s="1"/>
  <c r="H64" i="59"/>
  <c r="G64" i="59"/>
  <c r="F64" i="59"/>
  <c r="E64" i="59"/>
  <c r="C15" i="59" s="1"/>
  <c r="E15" i="59" s="1"/>
  <c r="D64" i="59"/>
  <c r="J9" i="59" s="1"/>
  <c r="C64" i="59"/>
  <c r="K64" i="3"/>
  <c r="J64" i="3"/>
  <c r="I64" i="3"/>
  <c r="C21" i="3" s="1"/>
  <c r="E21" i="3" s="1"/>
  <c r="H64" i="3"/>
  <c r="G64" i="3"/>
  <c r="F64" i="3"/>
  <c r="C25" i="3" s="1"/>
  <c r="E64" i="3"/>
  <c r="D64" i="3"/>
  <c r="C13" i="3" s="1"/>
  <c r="E13" i="3" s="1"/>
  <c r="C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E19" i="3"/>
  <c r="C19" i="3"/>
  <c r="C17" i="3"/>
  <c r="E17" i="3" s="1"/>
  <c r="C15" i="3"/>
  <c r="E15" i="3" s="1"/>
  <c r="C11" i="3"/>
  <c r="E11" i="3" s="1"/>
  <c r="J9" i="3"/>
  <c r="A33" i="15"/>
  <c r="K64" i="71"/>
  <c r="J64" i="71"/>
  <c r="I64" i="71"/>
  <c r="H64" i="71"/>
  <c r="I11" i="71" s="1"/>
  <c r="K11" i="71" s="1"/>
  <c r="F64" i="71"/>
  <c r="C17" i="71" s="1"/>
  <c r="E17" i="71" s="1"/>
  <c r="E64" i="71"/>
  <c r="C15" i="71" s="1"/>
  <c r="E15" i="71" s="1"/>
  <c r="D64" i="71"/>
  <c r="C64" i="71"/>
  <c r="C11" i="71" s="1"/>
  <c r="E11" i="71" s="1"/>
  <c r="L63" i="71"/>
  <c r="A63" i="71"/>
  <c r="L62" i="71"/>
  <c r="A62" i="71"/>
  <c r="L61" i="71"/>
  <c r="A61" i="71"/>
  <c r="L60" i="71"/>
  <c r="A60" i="71"/>
  <c r="L59" i="71"/>
  <c r="A59" i="71"/>
  <c r="L58" i="71"/>
  <c r="A58" i="71"/>
  <c r="L57" i="71"/>
  <c r="A57" i="71"/>
  <c r="L56" i="71"/>
  <c r="A56" i="71"/>
  <c r="L55" i="71"/>
  <c r="A55" i="71"/>
  <c r="L54" i="71"/>
  <c r="A54" i="71"/>
  <c r="L53" i="71"/>
  <c r="A53" i="71"/>
  <c r="L52" i="71"/>
  <c r="A52" i="71"/>
  <c r="L51" i="71"/>
  <c r="A51" i="71"/>
  <c r="L50" i="71"/>
  <c r="A50" i="71"/>
  <c r="L49" i="71"/>
  <c r="A49" i="71"/>
  <c r="L48" i="71"/>
  <c r="A48" i="71"/>
  <c r="L47" i="71"/>
  <c r="A47" i="71"/>
  <c r="L46" i="71"/>
  <c r="A46" i="71"/>
  <c r="L45" i="71"/>
  <c r="A45" i="71"/>
  <c r="L44" i="71"/>
  <c r="A44" i="71"/>
  <c r="L43" i="71"/>
  <c r="A43" i="71"/>
  <c r="L42" i="71"/>
  <c r="A42" i="71"/>
  <c r="L41" i="71"/>
  <c r="A41" i="71"/>
  <c r="L40" i="71"/>
  <c r="A40" i="71"/>
  <c r="L39" i="71"/>
  <c r="A39" i="71"/>
  <c r="L38" i="71"/>
  <c r="A38" i="71"/>
  <c r="L37" i="71"/>
  <c r="A37" i="71"/>
  <c r="L36" i="71"/>
  <c r="A36" i="71"/>
  <c r="L35" i="71"/>
  <c r="A35" i="71"/>
  <c r="L34" i="71"/>
  <c r="A34" i="71"/>
  <c r="L33" i="71"/>
  <c r="A33" i="71"/>
  <c r="I13" i="71"/>
  <c r="K13" i="71" s="1"/>
  <c r="C13" i="71"/>
  <c r="E13" i="71" s="1"/>
  <c r="A7" i="71"/>
  <c r="C21" i="69"/>
  <c r="E21" i="69" s="1"/>
  <c r="C19" i="69"/>
  <c r="E19" i="69" s="1"/>
  <c r="C17" i="69"/>
  <c r="E17" i="69" s="1"/>
  <c r="C25" i="69"/>
  <c r="C13" i="69"/>
  <c r="E13" i="69" s="1"/>
  <c r="C11" i="69"/>
  <c r="E11" i="69" s="1"/>
  <c r="K64" i="68"/>
  <c r="J64" i="68"/>
  <c r="C21" i="68"/>
  <c r="E21" i="68" s="1"/>
  <c r="C19" i="68"/>
  <c r="E19" i="68" s="1"/>
  <c r="C17" i="68"/>
  <c r="E17" i="68" s="1"/>
  <c r="C25" i="68"/>
  <c r="E25" i="68" s="1"/>
  <c r="A63" i="68"/>
  <c r="A62" i="68"/>
  <c r="A61" i="68"/>
  <c r="A60" i="68"/>
  <c r="A59" i="68"/>
  <c r="A58" i="68"/>
  <c r="A57" i="68"/>
  <c r="A56" i="68"/>
  <c r="A55" i="68"/>
  <c r="A54" i="68"/>
  <c r="A53" i="68"/>
  <c r="A52" i="68"/>
  <c r="A51" i="68"/>
  <c r="A50" i="68"/>
  <c r="A49" i="68"/>
  <c r="A48" i="68"/>
  <c r="A47" i="68"/>
  <c r="A46" i="68"/>
  <c r="A45" i="68"/>
  <c r="A44" i="68"/>
  <c r="A43" i="68"/>
  <c r="A42" i="68"/>
  <c r="A41" i="68"/>
  <c r="A40" i="68"/>
  <c r="A39" i="68"/>
  <c r="A38" i="68"/>
  <c r="A37" i="68"/>
  <c r="A36" i="68"/>
  <c r="A35" i="68"/>
  <c r="A34" i="68"/>
  <c r="A33" i="68"/>
  <c r="C13" i="68"/>
  <c r="E13" i="68" s="1"/>
  <c r="A7" i="68"/>
  <c r="K64" i="67"/>
  <c r="J64" i="67"/>
  <c r="C21" i="67"/>
  <c r="E21" i="67" s="1"/>
  <c r="C19" i="67"/>
  <c r="E19" i="67" s="1"/>
  <c r="C17" i="67"/>
  <c r="E17" i="67" s="1"/>
  <c r="C25" i="67"/>
  <c r="A63" i="67"/>
  <c r="A62" i="67"/>
  <c r="A61" i="67"/>
  <c r="A60" i="67"/>
  <c r="A59" i="67"/>
  <c r="A58" i="67"/>
  <c r="A57" i="67"/>
  <c r="A56" i="67"/>
  <c r="A55" i="67"/>
  <c r="A54" i="67"/>
  <c r="A53" i="67"/>
  <c r="A52" i="67"/>
  <c r="A51" i="67"/>
  <c r="A50" i="67"/>
  <c r="A49" i="67"/>
  <c r="A48" i="67"/>
  <c r="A47" i="67"/>
  <c r="A46" i="67"/>
  <c r="A45" i="67"/>
  <c r="A44" i="67"/>
  <c r="A43" i="67"/>
  <c r="A42" i="67"/>
  <c r="A41" i="67"/>
  <c r="A40" i="67"/>
  <c r="A39" i="67"/>
  <c r="A38" i="67"/>
  <c r="A37" i="67"/>
  <c r="A36" i="67"/>
  <c r="A35" i="67"/>
  <c r="A34" i="67"/>
  <c r="A33" i="67"/>
  <c r="C15" i="67"/>
  <c r="E15" i="67" s="1"/>
  <c r="A7" i="67"/>
  <c r="K64" i="66"/>
  <c r="J64" i="66"/>
  <c r="C21" i="66"/>
  <c r="E21" i="66" s="1"/>
  <c r="C19" i="66"/>
  <c r="E19" i="66" s="1"/>
  <c r="C17" i="66"/>
  <c r="E17" i="66" s="1"/>
  <c r="A63" i="66"/>
  <c r="A62" i="66"/>
  <c r="A61" i="66"/>
  <c r="A60" i="66"/>
  <c r="A59" i="66"/>
  <c r="A58" i="66"/>
  <c r="A57" i="66"/>
  <c r="A56" i="66"/>
  <c r="A55" i="66"/>
  <c r="A54" i="66"/>
  <c r="A53" i="66"/>
  <c r="A52" i="66"/>
  <c r="A51" i="66"/>
  <c r="A50" i="66"/>
  <c r="A49" i="66"/>
  <c r="A48" i="66"/>
  <c r="A47" i="66"/>
  <c r="A46" i="66"/>
  <c r="A45" i="66"/>
  <c r="A44" i="66"/>
  <c r="A43" i="66"/>
  <c r="A42" i="66"/>
  <c r="A41" i="66"/>
  <c r="A40" i="66"/>
  <c r="A39" i="66"/>
  <c r="A38" i="66"/>
  <c r="A37" i="66"/>
  <c r="A36" i="66"/>
  <c r="A35" i="66"/>
  <c r="A34" i="66"/>
  <c r="A33" i="66"/>
  <c r="A7" i="66"/>
  <c r="C25" i="65"/>
  <c r="J11" i="65" s="1"/>
  <c r="A63" i="65"/>
  <c r="A62" i="65"/>
  <c r="A61" i="65"/>
  <c r="A60" i="65"/>
  <c r="A59" i="65"/>
  <c r="A58" i="65"/>
  <c r="A57" i="65"/>
  <c r="A56" i="65"/>
  <c r="A55" i="65"/>
  <c r="A54" i="65"/>
  <c r="A53" i="65"/>
  <c r="A52" i="65"/>
  <c r="A51" i="65"/>
  <c r="A50" i="65"/>
  <c r="A49" i="65"/>
  <c r="A48" i="65"/>
  <c r="A47" i="65"/>
  <c r="A46" i="65"/>
  <c r="A45" i="65"/>
  <c r="A44" i="65"/>
  <c r="A43" i="65"/>
  <c r="A42" i="65"/>
  <c r="A41" i="65"/>
  <c r="A40" i="65"/>
  <c r="A39" i="65"/>
  <c r="A38" i="65"/>
  <c r="A37" i="65"/>
  <c r="A36" i="65"/>
  <c r="A35" i="65"/>
  <c r="A34" i="65"/>
  <c r="A33" i="65"/>
  <c r="E25" i="65"/>
  <c r="C19" i="65"/>
  <c r="E19" i="65" s="1"/>
  <c r="C17" i="65"/>
  <c r="E17" i="65" s="1"/>
  <c r="E13" i="65"/>
  <c r="E11" i="65"/>
  <c r="A7" i="65"/>
  <c r="K64" i="62"/>
  <c r="J64" i="62"/>
  <c r="C21" i="62"/>
  <c r="E21" i="62" s="1"/>
  <c r="C19" i="62"/>
  <c r="E19" i="62" s="1"/>
  <c r="C17" i="62"/>
  <c r="E17" i="62" s="1"/>
  <c r="A63" i="62"/>
  <c r="A62" i="62"/>
  <c r="A61" i="62"/>
  <c r="A60" i="62"/>
  <c r="A59" i="62"/>
  <c r="A58" i="62"/>
  <c r="A57" i="62"/>
  <c r="A56" i="62"/>
  <c r="A55" i="62"/>
  <c r="A54" i="62"/>
  <c r="A53" i="62"/>
  <c r="A52" i="62"/>
  <c r="A51" i="62"/>
  <c r="A50" i="62"/>
  <c r="A49" i="62"/>
  <c r="A48" i="62"/>
  <c r="A47" i="62"/>
  <c r="A46" i="62"/>
  <c r="A45" i="62"/>
  <c r="A44" i="62"/>
  <c r="A43" i="62"/>
  <c r="A42" i="62"/>
  <c r="A41" i="62"/>
  <c r="A40" i="62"/>
  <c r="A39" i="62"/>
  <c r="A38" i="62"/>
  <c r="A37" i="62"/>
  <c r="A36" i="62"/>
  <c r="A35" i="62"/>
  <c r="A34" i="62"/>
  <c r="A33" i="62"/>
  <c r="A7" i="62"/>
  <c r="K64" i="61"/>
  <c r="J64" i="61"/>
  <c r="C21" i="61"/>
  <c r="E21" i="61" s="1"/>
  <c r="A63" i="61"/>
  <c r="A62" i="61"/>
  <c r="A61" i="61"/>
  <c r="A60" i="61"/>
  <c r="A59" i="61"/>
  <c r="A58" i="61"/>
  <c r="A57" i="61"/>
  <c r="A56" i="61"/>
  <c r="A55" i="61"/>
  <c r="A54" i="61"/>
  <c r="A53" i="61"/>
  <c r="A52" i="61"/>
  <c r="A51" i="61"/>
  <c r="A50" i="61"/>
  <c r="A49" i="61"/>
  <c r="A48" i="61"/>
  <c r="A47" i="61"/>
  <c r="A46" i="61"/>
  <c r="A45" i="61"/>
  <c r="A44" i="61"/>
  <c r="A43" i="61"/>
  <c r="A42" i="61"/>
  <c r="A41" i="61"/>
  <c r="A40" i="61"/>
  <c r="A39" i="61"/>
  <c r="A38" i="61"/>
  <c r="A37" i="61"/>
  <c r="A36" i="61"/>
  <c r="A35" i="61"/>
  <c r="A34" i="61"/>
  <c r="A33" i="61"/>
  <c r="A7" i="61"/>
  <c r="K64" i="60"/>
  <c r="J64" i="60"/>
  <c r="C21" i="60"/>
  <c r="E21" i="60" s="1"/>
  <c r="C19" i="60"/>
  <c r="E19" i="60" s="1"/>
  <c r="L63" i="60"/>
  <c r="A63" i="60"/>
  <c r="L62" i="60"/>
  <c r="A62" i="60"/>
  <c r="L61" i="60"/>
  <c r="A61" i="60"/>
  <c r="L60" i="60"/>
  <c r="A60" i="60"/>
  <c r="L59" i="60"/>
  <c r="A59" i="60"/>
  <c r="L58" i="60"/>
  <c r="A58" i="60"/>
  <c r="L57" i="60"/>
  <c r="A57" i="60"/>
  <c r="L56" i="60"/>
  <c r="A56" i="60"/>
  <c r="L55" i="60"/>
  <c r="A55" i="60"/>
  <c r="L54" i="60"/>
  <c r="A54" i="60"/>
  <c r="L53" i="60"/>
  <c r="A53" i="60"/>
  <c r="L52" i="60"/>
  <c r="A52" i="60"/>
  <c r="L51" i="60"/>
  <c r="A51" i="60"/>
  <c r="L50" i="60"/>
  <c r="A50" i="60"/>
  <c r="L49" i="60"/>
  <c r="A49" i="60"/>
  <c r="L48" i="60"/>
  <c r="A48" i="60"/>
  <c r="L47" i="60"/>
  <c r="A47" i="60"/>
  <c r="L46" i="60"/>
  <c r="A46" i="60"/>
  <c r="L45" i="60"/>
  <c r="A45" i="60"/>
  <c r="L44" i="60"/>
  <c r="A44" i="60"/>
  <c r="L43" i="60"/>
  <c r="A43" i="60"/>
  <c r="L42" i="60"/>
  <c r="A42" i="60"/>
  <c r="L41" i="60"/>
  <c r="A41" i="60"/>
  <c r="L40" i="60"/>
  <c r="A40" i="60"/>
  <c r="L39" i="60"/>
  <c r="A39" i="60"/>
  <c r="L38" i="60"/>
  <c r="A38" i="60"/>
  <c r="L37" i="60"/>
  <c r="A37" i="60"/>
  <c r="L36" i="60"/>
  <c r="A36" i="60"/>
  <c r="L35" i="60"/>
  <c r="A35" i="60"/>
  <c r="L34" i="60"/>
  <c r="A34" i="60"/>
  <c r="L33" i="60"/>
  <c r="A33" i="60"/>
  <c r="A7" i="60"/>
  <c r="K64" i="58"/>
  <c r="D64" i="58"/>
  <c r="C64" i="58"/>
  <c r="C15" i="58" s="1"/>
  <c r="E15" i="58" s="1"/>
  <c r="L63" i="58"/>
  <c r="E63" i="58"/>
  <c r="A63" i="58"/>
  <c r="L62" i="58"/>
  <c r="E62" i="58"/>
  <c r="A62" i="58"/>
  <c r="L61" i="58"/>
  <c r="E61" i="58"/>
  <c r="A61" i="58"/>
  <c r="L60" i="58"/>
  <c r="E60" i="58"/>
  <c r="A60" i="58"/>
  <c r="L59" i="58"/>
  <c r="E59" i="58"/>
  <c r="A59" i="58"/>
  <c r="L58" i="58"/>
  <c r="E58" i="58"/>
  <c r="A58" i="58"/>
  <c r="L57" i="58"/>
  <c r="E57" i="58"/>
  <c r="A57" i="58"/>
  <c r="L56" i="58"/>
  <c r="E56" i="58"/>
  <c r="A56" i="58"/>
  <c r="L55" i="58"/>
  <c r="E55" i="58"/>
  <c r="A55" i="58"/>
  <c r="L54" i="58"/>
  <c r="E54" i="58"/>
  <c r="A54" i="58"/>
  <c r="L53" i="58"/>
  <c r="E53" i="58"/>
  <c r="A53" i="58"/>
  <c r="L52" i="58"/>
  <c r="E52" i="58"/>
  <c r="A52" i="58"/>
  <c r="L51" i="58"/>
  <c r="E51" i="58"/>
  <c r="A51" i="58"/>
  <c r="L50" i="58"/>
  <c r="E50" i="58"/>
  <c r="A50" i="58"/>
  <c r="L49" i="58"/>
  <c r="E49" i="58"/>
  <c r="A49" i="58"/>
  <c r="L48" i="58"/>
  <c r="E48" i="58"/>
  <c r="A48" i="58"/>
  <c r="L47" i="58"/>
  <c r="E47" i="58"/>
  <c r="A47" i="58"/>
  <c r="L46" i="58"/>
  <c r="E46" i="58"/>
  <c r="A46" i="58"/>
  <c r="L45" i="58"/>
  <c r="E45" i="58"/>
  <c r="A45" i="58"/>
  <c r="L44" i="58"/>
  <c r="E44" i="58"/>
  <c r="A44" i="58"/>
  <c r="L43" i="58"/>
  <c r="E43" i="58"/>
  <c r="A43" i="58"/>
  <c r="L42" i="58"/>
  <c r="E42" i="58"/>
  <c r="A42" i="58"/>
  <c r="L41" i="58"/>
  <c r="E41" i="58"/>
  <c r="A41" i="58"/>
  <c r="L40" i="58"/>
  <c r="E40" i="58"/>
  <c r="A40" i="58"/>
  <c r="L39" i="58"/>
  <c r="E39" i="58"/>
  <c r="A39" i="58"/>
  <c r="L38" i="58"/>
  <c r="E38" i="58"/>
  <c r="A38" i="58"/>
  <c r="L37" i="58"/>
  <c r="E37" i="58"/>
  <c r="A37" i="58"/>
  <c r="L36" i="58"/>
  <c r="E36" i="58"/>
  <c r="A36" i="58"/>
  <c r="L35" i="58"/>
  <c r="E35" i="58"/>
  <c r="A35" i="58"/>
  <c r="L34" i="58"/>
  <c r="E34" i="58"/>
  <c r="A34" i="58"/>
  <c r="L33" i="58"/>
  <c r="E33" i="58"/>
  <c r="A33" i="58"/>
  <c r="C25" i="58"/>
  <c r="E25" i="58" s="1"/>
  <c r="C17" i="58"/>
  <c r="E17" i="58" s="1"/>
  <c r="A7" i="58"/>
  <c r="J9" i="57"/>
  <c r="C15" i="57"/>
  <c r="E15" i="57" s="1"/>
  <c r="A63" i="57"/>
  <c r="A62" i="57"/>
  <c r="A61" i="57"/>
  <c r="A60" i="57"/>
  <c r="A59" i="57"/>
  <c r="A58" i="57"/>
  <c r="A57" i="57"/>
  <c r="A56" i="57"/>
  <c r="A55" i="57"/>
  <c r="A54" i="57"/>
  <c r="A53" i="57"/>
  <c r="A52" i="57"/>
  <c r="A51" i="57"/>
  <c r="A50" i="57"/>
  <c r="A49" i="57"/>
  <c r="A48" i="57"/>
  <c r="A47" i="57"/>
  <c r="A46" i="57"/>
  <c r="A45" i="57"/>
  <c r="A44" i="57"/>
  <c r="A43" i="57"/>
  <c r="A42" i="57"/>
  <c r="A41" i="57"/>
  <c r="A40" i="57"/>
  <c r="A39" i="57"/>
  <c r="A38" i="57"/>
  <c r="A37" i="57"/>
  <c r="A36" i="57"/>
  <c r="A35" i="57"/>
  <c r="A34" i="57"/>
  <c r="A33" i="57"/>
  <c r="C25" i="57"/>
  <c r="C21" i="57"/>
  <c r="E21" i="57" s="1"/>
  <c r="C19" i="57"/>
  <c r="E19" i="57" s="1"/>
  <c r="C17" i="57"/>
  <c r="E17" i="57" s="1"/>
  <c r="E13" i="57"/>
  <c r="E11" i="57"/>
  <c r="A7" i="57"/>
  <c r="K64" i="56"/>
  <c r="J64" i="56"/>
  <c r="D64" i="56"/>
  <c r="C25" i="56" s="1"/>
  <c r="E25" i="56" s="1"/>
  <c r="E15" i="56"/>
  <c r="A63" i="56"/>
  <c r="A62" i="56"/>
  <c r="A61" i="56"/>
  <c r="A60" i="56"/>
  <c r="A59" i="56"/>
  <c r="A58" i="56"/>
  <c r="A57" i="56"/>
  <c r="A56" i="56"/>
  <c r="A55" i="56"/>
  <c r="A54" i="56"/>
  <c r="A53" i="56"/>
  <c r="A52" i="56"/>
  <c r="A51" i="56"/>
  <c r="A50" i="56"/>
  <c r="A49" i="56"/>
  <c r="A48" i="56"/>
  <c r="A47" i="56"/>
  <c r="A46" i="56"/>
  <c r="A45" i="56"/>
  <c r="A44" i="56"/>
  <c r="A43" i="56"/>
  <c r="A42" i="56"/>
  <c r="A41" i="56"/>
  <c r="A40" i="56"/>
  <c r="A39" i="56"/>
  <c r="A38" i="56"/>
  <c r="A37" i="56"/>
  <c r="A36" i="56"/>
  <c r="A35" i="56"/>
  <c r="A34" i="56"/>
  <c r="A33" i="56"/>
  <c r="J9" i="56"/>
  <c r="A7" i="56"/>
  <c r="A63" i="55"/>
  <c r="A62" i="55"/>
  <c r="A61" i="55"/>
  <c r="A60" i="55"/>
  <c r="A59" i="55"/>
  <c r="A58" i="55"/>
  <c r="A57" i="55"/>
  <c r="A56" i="55"/>
  <c r="A55" i="55"/>
  <c r="A54" i="55"/>
  <c r="A53" i="55"/>
  <c r="A52" i="55"/>
  <c r="A51" i="55"/>
  <c r="A50" i="55"/>
  <c r="A49" i="55"/>
  <c r="A48" i="55"/>
  <c r="A47" i="55"/>
  <c r="A46" i="55"/>
  <c r="A45" i="55"/>
  <c r="A44" i="55"/>
  <c r="A43" i="55"/>
  <c r="A42" i="55"/>
  <c r="A41" i="55"/>
  <c r="A40" i="55"/>
  <c r="A39" i="55"/>
  <c r="A38" i="55"/>
  <c r="A37" i="55"/>
  <c r="A36" i="55"/>
  <c r="A35" i="55"/>
  <c r="A34" i="55"/>
  <c r="A33" i="55"/>
  <c r="C21" i="55"/>
  <c r="E21" i="55" s="1"/>
  <c r="C19" i="55"/>
  <c r="E19" i="55" s="1"/>
  <c r="C17" i="55"/>
  <c r="E17" i="55" s="1"/>
  <c r="C15" i="55"/>
  <c r="E15" i="55" s="1"/>
  <c r="E11" i="55"/>
  <c r="A7" i="55"/>
  <c r="K64" i="54"/>
  <c r="J64" i="54"/>
  <c r="C21" i="54"/>
  <c r="E21" i="54" s="1"/>
  <c r="C19" i="54"/>
  <c r="E19" i="54" s="1"/>
  <c r="C17" i="54"/>
  <c r="E17" i="54" s="1"/>
  <c r="C25" i="54"/>
  <c r="E25" i="54" s="1"/>
  <c r="C13" i="54"/>
  <c r="E13" i="54" s="1"/>
  <c r="L63" i="54"/>
  <c r="A63" i="54"/>
  <c r="L62" i="54"/>
  <c r="A62" i="54"/>
  <c r="L61" i="54"/>
  <c r="A61" i="54"/>
  <c r="L60" i="54"/>
  <c r="A60" i="54"/>
  <c r="L59" i="54"/>
  <c r="A59" i="54"/>
  <c r="L58" i="54"/>
  <c r="A58" i="54"/>
  <c r="L57" i="54"/>
  <c r="A57" i="54"/>
  <c r="L56" i="54"/>
  <c r="A56" i="54"/>
  <c r="L55" i="54"/>
  <c r="A55" i="54"/>
  <c r="L54" i="54"/>
  <c r="A54" i="54"/>
  <c r="L53" i="54"/>
  <c r="A53" i="54"/>
  <c r="L52" i="54"/>
  <c r="A52" i="54"/>
  <c r="L51" i="54"/>
  <c r="A51" i="54"/>
  <c r="L50" i="54"/>
  <c r="A50" i="54"/>
  <c r="L49" i="54"/>
  <c r="A49" i="54"/>
  <c r="L48" i="54"/>
  <c r="A48" i="54"/>
  <c r="L47" i="54"/>
  <c r="A47" i="54"/>
  <c r="L46" i="54"/>
  <c r="A46" i="54"/>
  <c r="L45" i="54"/>
  <c r="A45" i="54"/>
  <c r="L44" i="54"/>
  <c r="A44" i="54"/>
  <c r="L43" i="54"/>
  <c r="A43" i="54"/>
  <c r="L42" i="54"/>
  <c r="A42" i="54"/>
  <c r="L41" i="54"/>
  <c r="A41" i="54"/>
  <c r="L40" i="54"/>
  <c r="A40" i="54"/>
  <c r="L39" i="54"/>
  <c r="A39" i="54"/>
  <c r="L38" i="54"/>
  <c r="A38" i="54"/>
  <c r="L37" i="54"/>
  <c r="A37" i="54"/>
  <c r="L36" i="54"/>
  <c r="A36" i="54"/>
  <c r="L35" i="54"/>
  <c r="A35" i="54"/>
  <c r="L34" i="54"/>
  <c r="A34" i="54"/>
  <c r="L33" i="54"/>
  <c r="A33" i="54"/>
  <c r="A7" i="54"/>
  <c r="A63" i="53"/>
  <c r="A62" i="53"/>
  <c r="A61" i="53"/>
  <c r="A60" i="53"/>
  <c r="A59" i="53"/>
  <c r="A58" i="53"/>
  <c r="A57" i="53"/>
  <c r="A56" i="53"/>
  <c r="A55" i="53"/>
  <c r="A54" i="53"/>
  <c r="A53" i="53"/>
  <c r="A52" i="53"/>
  <c r="A51" i="53"/>
  <c r="A50" i="53"/>
  <c r="A49" i="53"/>
  <c r="A48" i="53"/>
  <c r="A47" i="53"/>
  <c r="A46" i="53"/>
  <c r="A45" i="53"/>
  <c r="A44" i="53"/>
  <c r="A43" i="53"/>
  <c r="A42" i="53"/>
  <c r="A41" i="53"/>
  <c r="A40" i="53"/>
  <c r="A39" i="53"/>
  <c r="A38" i="53"/>
  <c r="A37" i="53"/>
  <c r="A36" i="53"/>
  <c r="A35" i="53"/>
  <c r="A34" i="53"/>
  <c r="A33" i="53"/>
  <c r="C21" i="53"/>
  <c r="E21" i="53" s="1"/>
  <c r="C19" i="53"/>
  <c r="E19" i="53" s="1"/>
  <c r="C17" i="53"/>
  <c r="E17" i="53" s="1"/>
  <c r="E13" i="53"/>
  <c r="E11" i="53"/>
  <c r="A7" i="53"/>
  <c r="A63" i="52"/>
  <c r="A62" i="52"/>
  <c r="A61" i="52"/>
  <c r="A60" i="52"/>
  <c r="A59" i="52"/>
  <c r="A58" i="52"/>
  <c r="A57" i="52"/>
  <c r="A56" i="52"/>
  <c r="A55" i="52"/>
  <c r="A54" i="52"/>
  <c r="A53" i="52"/>
  <c r="A52" i="52"/>
  <c r="A51" i="52"/>
  <c r="A50" i="52"/>
  <c r="A49" i="52"/>
  <c r="A48" i="52"/>
  <c r="A47" i="52"/>
  <c r="A46" i="52"/>
  <c r="A45" i="52"/>
  <c r="A44" i="52"/>
  <c r="A43" i="52"/>
  <c r="A42" i="52"/>
  <c r="A41" i="52"/>
  <c r="A40" i="52"/>
  <c r="A39" i="52"/>
  <c r="A38" i="52"/>
  <c r="A37" i="52"/>
  <c r="A36" i="52"/>
  <c r="A35" i="52"/>
  <c r="A34" i="52"/>
  <c r="A33" i="52"/>
  <c r="C21" i="52"/>
  <c r="C19" i="52"/>
  <c r="A7" i="52"/>
  <c r="K64" i="51"/>
  <c r="J64" i="51"/>
  <c r="L63" i="51"/>
  <c r="A63" i="51"/>
  <c r="L62" i="51"/>
  <c r="A62" i="51"/>
  <c r="L61" i="51"/>
  <c r="A61" i="51"/>
  <c r="L60" i="51"/>
  <c r="A60" i="51"/>
  <c r="L59" i="51"/>
  <c r="A59" i="51"/>
  <c r="L58" i="51"/>
  <c r="A58" i="51"/>
  <c r="L57" i="51"/>
  <c r="A57" i="51"/>
  <c r="L56" i="51"/>
  <c r="A56" i="51"/>
  <c r="L55" i="51"/>
  <c r="A55" i="51"/>
  <c r="L54" i="51"/>
  <c r="A54" i="51"/>
  <c r="L53" i="51"/>
  <c r="A53" i="51"/>
  <c r="L52" i="51"/>
  <c r="A52" i="51"/>
  <c r="L51" i="51"/>
  <c r="A51" i="51"/>
  <c r="L50" i="51"/>
  <c r="A50" i="51"/>
  <c r="L49" i="51"/>
  <c r="A49" i="51"/>
  <c r="L48" i="51"/>
  <c r="A48" i="51"/>
  <c r="L47" i="51"/>
  <c r="A47" i="51"/>
  <c r="L46" i="51"/>
  <c r="A46" i="51"/>
  <c r="L45" i="51"/>
  <c r="A45" i="51"/>
  <c r="L44" i="51"/>
  <c r="A44" i="51"/>
  <c r="L43" i="51"/>
  <c r="A43" i="51"/>
  <c r="L42" i="51"/>
  <c r="A42" i="51"/>
  <c r="L41" i="51"/>
  <c r="A41" i="51"/>
  <c r="L40" i="51"/>
  <c r="A40" i="51"/>
  <c r="L39" i="51"/>
  <c r="A39" i="51"/>
  <c r="L38" i="51"/>
  <c r="A38" i="51"/>
  <c r="L37" i="51"/>
  <c r="A37" i="51"/>
  <c r="L36" i="51"/>
  <c r="A36" i="51"/>
  <c r="L35" i="51"/>
  <c r="A35" i="51"/>
  <c r="L34" i="51"/>
  <c r="A34" i="51"/>
  <c r="L33" i="51"/>
  <c r="A33" i="51"/>
  <c r="E21" i="51"/>
  <c r="E19" i="51"/>
  <c r="E17" i="51"/>
  <c r="E15" i="51"/>
  <c r="A7" i="51"/>
  <c r="K64" i="50"/>
  <c r="J64" i="50"/>
  <c r="C21" i="50"/>
  <c r="E21" i="50" s="1"/>
  <c r="C17" i="50"/>
  <c r="E17" i="50" s="1"/>
  <c r="C25" i="50"/>
  <c r="E25" i="50" s="1"/>
  <c r="C15" i="50"/>
  <c r="E15" i="50" s="1"/>
  <c r="A63" i="50"/>
  <c r="A62" i="50"/>
  <c r="A61" i="50"/>
  <c r="A60" i="50"/>
  <c r="A59" i="50"/>
  <c r="A58" i="50"/>
  <c r="A57" i="50"/>
  <c r="A56" i="50"/>
  <c r="A55" i="50"/>
  <c r="A54" i="50"/>
  <c r="A53" i="50"/>
  <c r="A52" i="50"/>
  <c r="A51" i="50"/>
  <c r="A50" i="50"/>
  <c r="A49" i="50"/>
  <c r="A48" i="50"/>
  <c r="A47" i="50"/>
  <c r="A46" i="50"/>
  <c r="A45" i="50"/>
  <c r="A44" i="50"/>
  <c r="A43" i="50"/>
  <c r="A42" i="50"/>
  <c r="A41" i="50"/>
  <c r="A40" i="50"/>
  <c r="A39" i="50"/>
  <c r="A38" i="50"/>
  <c r="A37" i="50"/>
  <c r="A36" i="50"/>
  <c r="A35" i="50"/>
  <c r="A34" i="50"/>
  <c r="A33" i="50"/>
  <c r="A7" i="50"/>
  <c r="L63" i="49"/>
  <c r="A63" i="49"/>
  <c r="L62" i="49"/>
  <c r="A62" i="49"/>
  <c r="L61" i="49"/>
  <c r="A61" i="49"/>
  <c r="L60" i="49"/>
  <c r="A60" i="49"/>
  <c r="L59" i="49"/>
  <c r="A59" i="49"/>
  <c r="L58" i="49"/>
  <c r="A58" i="49"/>
  <c r="L57" i="49"/>
  <c r="A57" i="49"/>
  <c r="L56" i="49"/>
  <c r="A56" i="49"/>
  <c r="L55" i="49"/>
  <c r="A55" i="49"/>
  <c r="L54" i="49"/>
  <c r="A54" i="49"/>
  <c r="L53" i="49"/>
  <c r="A53" i="49"/>
  <c r="L52" i="49"/>
  <c r="A52" i="49"/>
  <c r="L51" i="49"/>
  <c r="A51" i="49"/>
  <c r="L50" i="49"/>
  <c r="A50" i="49"/>
  <c r="L49" i="49"/>
  <c r="A49" i="49"/>
  <c r="L48" i="49"/>
  <c r="A48" i="49"/>
  <c r="L47" i="49"/>
  <c r="A47" i="49"/>
  <c r="L46" i="49"/>
  <c r="A46" i="49"/>
  <c r="L45" i="49"/>
  <c r="A45" i="49"/>
  <c r="L44" i="49"/>
  <c r="A44" i="49"/>
  <c r="L43" i="49"/>
  <c r="A43" i="49"/>
  <c r="L42" i="49"/>
  <c r="A42" i="49"/>
  <c r="L41" i="49"/>
  <c r="A41" i="49"/>
  <c r="L40" i="49"/>
  <c r="A40" i="49"/>
  <c r="L39" i="49"/>
  <c r="A39" i="49"/>
  <c r="L38" i="49"/>
  <c r="A38" i="49"/>
  <c r="L37" i="49"/>
  <c r="A37" i="49"/>
  <c r="L36" i="49"/>
  <c r="A36" i="49"/>
  <c r="L35" i="49"/>
  <c r="A35" i="49"/>
  <c r="L34" i="49"/>
  <c r="A34" i="49"/>
  <c r="L33" i="49"/>
  <c r="A33" i="49"/>
  <c r="C25" i="49"/>
  <c r="C21" i="49"/>
  <c r="E21" i="49" s="1"/>
  <c r="C19" i="49"/>
  <c r="E19" i="49" s="1"/>
  <c r="C17" i="49"/>
  <c r="E17" i="49" s="1"/>
  <c r="J9" i="49"/>
  <c r="A7" i="49"/>
  <c r="C64" i="48"/>
  <c r="L63" i="48"/>
  <c r="A63" i="48"/>
  <c r="L62" i="48"/>
  <c r="A62" i="48"/>
  <c r="L61" i="48"/>
  <c r="A61" i="48"/>
  <c r="L60" i="48"/>
  <c r="A60" i="48"/>
  <c r="L59" i="48"/>
  <c r="A59" i="48"/>
  <c r="L58" i="48"/>
  <c r="A58" i="48"/>
  <c r="L57" i="48"/>
  <c r="A57" i="48"/>
  <c r="L56" i="48"/>
  <c r="A56" i="48"/>
  <c r="L55" i="48"/>
  <c r="A55" i="48"/>
  <c r="L54" i="48"/>
  <c r="A54" i="48"/>
  <c r="L53" i="48"/>
  <c r="A53" i="48"/>
  <c r="L52" i="48"/>
  <c r="A52" i="48"/>
  <c r="L51" i="48"/>
  <c r="A51" i="48"/>
  <c r="L50" i="48"/>
  <c r="A50" i="48"/>
  <c r="L49" i="48"/>
  <c r="A49" i="48"/>
  <c r="L48" i="48"/>
  <c r="A48" i="48"/>
  <c r="L47" i="48"/>
  <c r="A47" i="48"/>
  <c r="L46" i="48"/>
  <c r="A46" i="48"/>
  <c r="L45" i="48"/>
  <c r="A45" i="48"/>
  <c r="L44" i="48"/>
  <c r="A44" i="48"/>
  <c r="L43" i="48"/>
  <c r="A43" i="48"/>
  <c r="L42" i="48"/>
  <c r="A42" i="48"/>
  <c r="L41" i="48"/>
  <c r="A41" i="48"/>
  <c r="L40" i="48"/>
  <c r="A40" i="48"/>
  <c r="L39" i="48"/>
  <c r="A39" i="48"/>
  <c r="L38" i="48"/>
  <c r="A38" i="48"/>
  <c r="L37" i="48"/>
  <c r="A37" i="48"/>
  <c r="L36" i="48"/>
  <c r="A36" i="48"/>
  <c r="L35" i="48"/>
  <c r="A35" i="48"/>
  <c r="L34" i="48"/>
  <c r="A34" i="48"/>
  <c r="L33" i="48"/>
  <c r="A33" i="48"/>
  <c r="C25" i="48"/>
  <c r="E25" i="48" s="1"/>
  <c r="C21" i="48"/>
  <c r="E21" i="48" s="1"/>
  <c r="C19" i="48"/>
  <c r="E19" i="48" s="1"/>
  <c r="C17" i="48"/>
  <c r="E17" i="48" s="1"/>
  <c r="C15" i="48"/>
  <c r="E15" i="48" s="1"/>
  <c r="C13" i="48"/>
  <c r="E13" i="48" s="1"/>
  <c r="C11" i="48"/>
  <c r="E11" i="48" s="1"/>
  <c r="J9" i="48"/>
  <c r="J11" i="48" s="1"/>
  <c r="A7" i="48"/>
  <c r="C64" i="47"/>
  <c r="C11" i="47" s="1"/>
  <c r="E11" i="47" s="1"/>
  <c r="L63" i="47"/>
  <c r="A63" i="47"/>
  <c r="L62" i="47"/>
  <c r="A62" i="47"/>
  <c r="L61" i="47"/>
  <c r="A61" i="47"/>
  <c r="L60" i="47"/>
  <c r="A60" i="47"/>
  <c r="L59" i="47"/>
  <c r="A59" i="47"/>
  <c r="L58" i="47"/>
  <c r="A58" i="47"/>
  <c r="L57" i="47"/>
  <c r="A57" i="47"/>
  <c r="L56" i="47"/>
  <c r="A56" i="47"/>
  <c r="L55" i="47"/>
  <c r="A55" i="47"/>
  <c r="L54" i="47"/>
  <c r="A54" i="47"/>
  <c r="L53" i="47"/>
  <c r="A53" i="47"/>
  <c r="L52" i="47"/>
  <c r="A52" i="47"/>
  <c r="L51" i="47"/>
  <c r="A51" i="47"/>
  <c r="L50" i="47"/>
  <c r="A50" i="47"/>
  <c r="L49" i="47"/>
  <c r="A49" i="47"/>
  <c r="L48" i="47"/>
  <c r="A48" i="47"/>
  <c r="L47" i="47"/>
  <c r="A47" i="47"/>
  <c r="L46" i="47"/>
  <c r="A46" i="47"/>
  <c r="L45" i="47"/>
  <c r="A45" i="47"/>
  <c r="L44" i="47"/>
  <c r="A44" i="47"/>
  <c r="L43" i="47"/>
  <c r="A43" i="47"/>
  <c r="L42" i="47"/>
  <c r="A42" i="47"/>
  <c r="L41" i="47"/>
  <c r="A41" i="47"/>
  <c r="L40" i="47"/>
  <c r="A40" i="47"/>
  <c r="L39" i="47"/>
  <c r="A39" i="47"/>
  <c r="L38" i="47"/>
  <c r="A38" i="47"/>
  <c r="L37" i="47"/>
  <c r="A37" i="47"/>
  <c r="L36" i="47"/>
  <c r="A36" i="47"/>
  <c r="L35" i="47"/>
  <c r="A35" i="47"/>
  <c r="L34" i="47"/>
  <c r="A34" i="47"/>
  <c r="L33" i="47"/>
  <c r="A33" i="47"/>
  <c r="C25" i="47"/>
  <c r="E25" i="47" s="1"/>
  <c r="C21" i="47"/>
  <c r="E21" i="47" s="1"/>
  <c r="C19" i="47"/>
  <c r="E19" i="47" s="1"/>
  <c r="C17" i="47"/>
  <c r="E17" i="47" s="1"/>
  <c r="C15" i="47"/>
  <c r="E15" i="47" s="1"/>
  <c r="C13" i="47"/>
  <c r="E13" i="47" s="1"/>
  <c r="J9" i="47"/>
  <c r="A7" i="47"/>
  <c r="C64" i="46"/>
  <c r="C11" i="46" s="1"/>
  <c r="E11" i="46" s="1"/>
  <c r="L63" i="46"/>
  <c r="A63" i="46"/>
  <c r="L62" i="46"/>
  <c r="A62" i="46"/>
  <c r="L61" i="46"/>
  <c r="A61" i="46"/>
  <c r="L60" i="46"/>
  <c r="A60" i="46"/>
  <c r="L59" i="46"/>
  <c r="A59" i="46"/>
  <c r="L58" i="46"/>
  <c r="A58" i="46"/>
  <c r="L57" i="46"/>
  <c r="A57" i="46"/>
  <c r="L56" i="46"/>
  <c r="A56" i="46"/>
  <c r="L55" i="46"/>
  <c r="A55" i="46"/>
  <c r="L54" i="46"/>
  <c r="A54" i="46"/>
  <c r="L53" i="46"/>
  <c r="A53" i="46"/>
  <c r="L52" i="46"/>
  <c r="A52" i="46"/>
  <c r="L51" i="46"/>
  <c r="A51" i="46"/>
  <c r="L50" i="46"/>
  <c r="A50" i="46"/>
  <c r="L49" i="46"/>
  <c r="A49" i="46"/>
  <c r="L48" i="46"/>
  <c r="A48" i="46"/>
  <c r="L47" i="46"/>
  <c r="A47" i="46"/>
  <c r="L46" i="46"/>
  <c r="A46" i="46"/>
  <c r="L45" i="46"/>
  <c r="A45" i="46"/>
  <c r="L44" i="46"/>
  <c r="A44" i="46"/>
  <c r="L43" i="46"/>
  <c r="A43" i="46"/>
  <c r="L42" i="46"/>
  <c r="A42" i="46"/>
  <c r="L41" i="46"/>
  <c r="A41" i="46"/>
  <c r="L40" i="46"/>
  <c r="A40" i="46"/>
  <c r="L39" i="46"/>
  <c r="A39" i="46"/>
  <c r="L38" i="46"/>
  <c r="A38" i="46"/>
  <c r="L37" i="46"/>
  <c r="A37" i="46"/>
  <c r="L36" i="46"/>
  <c r="A36" i="46"/>
  <c r="L35" i="46"/>
  <c r="A35" i="46"/>
  <c r="L34" i="46"/>
  <c r="A34" i="46"/>
  <c r="L33" i="46"/>
  <c r="A33" i="46"/>
  <c r="C25" i="46"/>
  <c r="E25" i="46" s="1"/>
  <c r="C21" i="46"/>
  <c r="E21" i="46" s="1"/>
  <c r="C19" i="46"/>
  <c r="E19" i="46" s="1"/>
  <c r="C17" i="46"/>
  <c r="E17" i="46" s="1"/>
  <c r="C15" i="46"/>
  <c r="E15" i="46" s="1"/>
  <c r="E13" i="46"/>
  <c r="C13" i="46"/>
  <c r="J9" i="46"/>
  <c r="A7" i="46"/>
  <c r="K64" i="45"/>
  <c r="J64" i="45"/>
  <c r="C21" i="45"/>
  <c r="E21" i="45" s="1"/>
  <c r="A63" i="45"/>
  <c r="A62" i="45"/>
  <c r="A61" i="45"/>
  <c r="A60" i="45"/>
  <c r="A59" i="45"/>
  <c r="A58" i="45"/>
  <c r="A57" i="45"/>
  <c r="A56" i="45"/>
  <c r="A55" i="45"/>
  <c r="A54" i="45"/>
  <c r="A53" i="45"/>
  <c r="A52" i="45"/>
  <c r="A51" i="45"/>
  <c r="A50" i="45"/>
  <c r="A49" i="45"/>
  <c r="A48" i="45"/>
  <c r="A47" i="45"/>
  <c r="A46" i="45"/>
  <c r="A45" i="45"/>
  <c r="A44" i="45"/>
  <c r="A43" i="45"/>
  <c r="A42" i="45"/>
  <c r="A41" i="45"/>
  <c r="A40" i="45"/>
  <c r="A39" i="45"/>
  <c r="A38" i="45"/>
  <c r="A37" i="45"/>
  <c r="A36" i="45"/>
  <c r="A35" i="45"/>
  <c r="A34" i="45"/>
  <c r="A33" i="45"/>
  <c r="A7" i="45"/>
  <c r="K64" i="44"/>
  <c r="J64" i="44"/>
  <c r="C21" i="44"/>
  <c r="E21" i="44" s="1"/>
  <c r="C19" i="44"/>
  <c r="E19" i="44" s="1"/>
  <c r="C17" i="44"/>
  <c r="E17" i="44" s="1"/>
  <c r="C25" i="44"/>
  <c r="C15" i="44"/>
  <c r="E15" i="44" s="1"/>
  <c r="C13" i="44"/>
  <c r="E13" i="44" s="1"/>
  <c r="C11" i="44"/>
  <c r="E11" i="44" s="1"/>
  <c r="A63" i="44"/>
  <c r="A62" i="44"/>
  <c r="A61" i="44"/>
  <c r="A60" i="44"/>
  <c r="A59" i="44"/>
  <c r="A58" i="44"/>
  <c r="A57" i="44"/>
  <c r="A56" i="44"/>
  <c r="A55" i="44"/>
  <c r="A54" i="44"/>
  <c r="A53" i="44"/>
  <c r="A52" i="44"/>
  <c r="A51" i="44"/>
  <c r="A50" i="44"/>
  <c r="A49" i="44"/>
  <c r="A48" i="44"/>
  <c r="A47" i="44"/>
  <c r="A46" i="44"/>
  <c r="A45" i="44"/>
  <c r="A44" i="44"/>
  <c r="A43" i="44"/>
  <c r="A42" i="44"/>
  <c r="A41" i="44"/>
  <c r="A40" i="44"/>
  <c r="A39" i="44"/>
  <c r="A38" i="44"/>
  <c r="A37" i="44"/>
  <c r="A36" i="44"/>
  <c r="A35" i="44"/>
  <c r="A34" i="44"/>
  <c r="A33" i="44"/>
  <c r="A7" i="44"/>
  <c r="K64" i="43"/>
  <c r="J64" i="43"/>
  <c r="C21" i="43"/>
  <c r="E21" i="43" s="1"/>
  <c r="C19" i="43"/>
  <c r="E19" i="43" s="1"/>
  <c r="C17" i="43"/>
  <c r="E17" i="43" s="1"/>
  <c r="C25" i="43"/>
  <c r="E25" i="43" s="1"/>
  <c r="C15" i="43"/>
  <c r="E15" i="43" s="1"/>
  <c r="C13" i="43"/>
  <c r="E13" i="43" s="1"/>
  <c r="C11" i="43"/>
  <c r="E11" i="43" s="1"/>
  <c r="L63" i="43"/>
  <c r="A63" i="43"/>
  <c r="L62" i="43"/>
  <c r="A62" i="43"/>
  <c r="L61" i="43"/>
  <c r="A61" i="43"/>
  <c r="L60" i="43"/>
  <c r="A60" i="43"/>
  <c r="L59" i="43"/>
  <c r="A59" i="43"/>
  <c r="L58" i="43"/>
  <c r="A58" i="43"/>
  <c r="L57" i="43"/>
  <c r="A57" i="43"/>
  <c r="L56" i="43"/>
  <c r="A56" i="43"/>
  <c r="L55" i="43"/>
  <c r="A55" i="43"/>
  <c r="L54" i="43"/>
  <c r="A54" i="43"/>
  <c r="L53" i="43"/>
  <c r="A53" i="43"/>
  <c r="L52" i="43"/>
  <c r="A52" i="43"/>
  <c r="L51" i="43"/>
  <c r="A51" i="43"/>
  <c r="L50" i="43"/>
  <c r="A50" i="43"/>
  <c r="L49" i="43"/>
  <c r="A49" i="43"/>
  <c r="L48" i="43"/>
  <c r="A48" i="43"/>
  <c r="L47" i="43"/>
  <c r="A47" i="43"/>
  <c r="L46" i="43"/>
  <c r="A46" i="43"/>
  <c r="L45" i="43"/>
  <c r="A45" i="43"/>
  <c r="L44" i="43"/>
  <c r="A44" i="43"/>
  <c r="L43" i="43"/>
  <c r="A43" i="43"/>
  <c r="L42" i="43"/>
  <c r="A42" i="43"/>
  <c r="L41" i="43"/>
  <c r="A41" i="43"/>
  <c r="L40" i="43"/>
  <c r="A40" i="43"/>
  <c r="L39" i="43"/>
  <c r="A39" i="43"/>
  <c r="L38" i="43"/>
  <c r="A38" i="43"/>
  <c r="L37" i="43"/>
  <c r="A37" i="43"/>
  <c r="L36" i="43"/>
  <c r="A36" i="43"/>
  <c r="L35" i="43"/>
  <c r="A35" i="43"/>
  <c r="L34" i="43"/>
  <c r="A34" i="43"/>
  <c r="L33" i="43"/>
  <c r="A33" i="43"/>
  <c r="A7" i="43"/>
  <c r="K64" i="42"/>
  <c r="J64" i="42"/>
  <c r="C21" i="42"/>
  <c r="E21" i="42" s="1"/>
  <c r="A63" i="42"/>
  <c r="A62" i="42"/>
  <c r="A61" i="42"/>
  <c r="A60" i="42"/>
  <c r="A59" i="42"/>
  <c r="A58" i="42"/>
  <c r="A57" i="42"/>
  <c r="A56" i="42"/>
  <c r="A55" i="42"/>
  <c r="A54" i="42"/>
  <c r="A53" i="42"/>
  <c r="A52" i="42"/>
  <c r="A51" i="42"/>
  <c r="A50" i="42"/>
  <c r="A49" i="42"/>
  <c r="A48" i="42"/>
  <c r="A47" i="42"/>
  <c r="A46" i="42"/>
  <c r="A45" i="42"/>
  <c r="A44" i="42"/>
  <c r="A43" i="42"/>
  <c r="A42" i="42"/>
  <c r="A41" i="42"/>
  <c r="A40" i="42"/>
  <c r="A39" i="42"/>
  <c r="A38" i="42"/>
  <c r="A37" i="42"/>
  <c r="A36" i="42"/>
  <c r="A35" i="42"/>
  <c r="A34" i="42"/>
  <c r="A33" i="42"/>
  <c r="A7" i="42"/>
  <c r="J9" i="41"/>
  <c r="C13" i="41"/>
  <c r="E13" i="41" s="1"/>
  <c r="A63" i="41"/>
  <c r="A62" i="41"/>
  <c r="A61" i="41"/>
  <c r="A60" i="41"/>
  <c r="A59" i="41"/>
  <c r="A58" i="41"/>
  <c r="A57" i="41"/>
  <c r="A56" i="41"/>
  <c r="A55" i="41"/>
  <c r="A54" i="41"/>
  <c r="A53" i="41"/>
  <c r="A52" i="41"/>
  <c r="A51" i="41"/>
  <c r="A50" i="41"/>
  <c r="A49" i="41"/>
  <c r="A48" i="41"/>
  <c r="A47" i="41"/>
  <c r="A46" i="41"/>
  <c r="A45" i="41"/>
  <c r="A44" i="41"/>
  <c r="A43" i="41"/>
  <c r="A42" i="41"/>
  <c r="A41" i="41"/>
  <c r="A40" i="41"/>
  <c r="A39" i="41"/>
  <c r="A38" i="41"/>
  <c r="A37" i="41"/>
  <c r="A36" i="41"/>
  <c r="A35" i="41"/>
  <c r="A34" i="41"/>
  <c r="A33" i="41"/>
  <c r="C21" i="41"/>
  <c r="E21" i="41" s="1"/>
  <c r="C19" i="41"/>
  <c r="E19" i="41" s="1"/>
  <c r="E11" i="41"/>
  <c r="A7" i="41"/>
  <c r="K64" i="40"/>
  <c r="J64" i="40"/>
  <c r="C21" i="40"/>
  <c r="E21" i="40" s="1"/>
  <c r="C19" i="40"/>
  <c r="E19" i="40" s="1"/>
  <c r="C17" i="40"/>
  <c r="E17" i="40" s="1"/>
  <c r="A63" i="40"/>
  <c r="A62" i="40"/>
  <c r="A61" i="40"/>
  <c r="A60" i="40"/>
  <c r="A59" i="40"/>
  <c r="A58" i="40"/>
  <c r="A57" i="40"/>
  <c r="A56" i="40"/>
  <c r="A55" i="40"/>
  <c r="A54" i="40"/>
  <c r="A53" i="40"/>
  <c r="A52" i="40"/>
  <c r="A51" i="40"/>
  <c r="A50" i="40"/>
  <c r="A49" i="40"/>
  <c r="A48" i="40"/>
  <c r="A47" i="40"/>
  <c r="A46" i="40"/>
  <c r="A45" i="40"/>
  <c r="A44" i="40"/>
  <c r="A43" i="40"/>
  <c r="A42" i="40"/>
  <c r="A41" i="40"/>
  <c r="A40" i="40"/>
  <c r="A39" i="40"/>
  <c r="A38" i="40"/>
  <c r="A37" i="40"/>
  <c r="A36" i="40"/>
  <c r="A35" i="40"/>
  <c r="A34" i="40"/>
  <c r="A33" i="40"/>
  <c r="A7" i="40"/>
  <c r="K64" i="39"/>
  <c r="J64" i="39"/>
  <c r="C21" i="39"/>
  <c r="E21" i="39" s="1"/>
  <c r="L63" i="39"/>
  <c r="A63" i="39"/>
  <c r="L62" i="39"/>
  <c r="A62" i="39"/>
  <c r="L61" i="39"/>
  <c r="A61" i="39"/>
  <c r="L60" i="39"/>
  <c r="A60" i="39"/>
  <c r="L59" i="39"/>
  <c r="A59" i="39"/>
  <c r="L58" i="39"/>
  <c r="A58" i="39"/>
  <c r="L57" i="39"/>
  <c r="A57" i="39"/>
  <c r="L56" i="39"/>
  <c r="A56" i="39"/>
  <c r="L55" i="39"/>
  <c r="A55" i="39"/>
  <c r="L54" i="39"/>
  <c r="A54" i="39"/>
  <c r="L53" i="39"/>
  <c r="A53" i="39"/>
  <c r="L52" i="39"/>
  <c r="A52" i="39"/>
  <c r="L51" i="39"/>
  <c r="A51" i="39"/>
  <c r="L50" i="39"/>
  <c r="A50" i="39"/>
  <c r="L49" i="39"/>
  <c r="A49" i="39"/>
  <c r="L48" i="39"/>
  <c r="A48" i="39"/>
  <c r="L47" i="39"/>
  <c r="A47" i="39"/>
  <c r="L46" i="39"/>
  <c r="A46" i="39"/>
  <c r="L45" i="39"/>
  <c r="A45" i="39"/>
  <c r="L44" i="39"/>
  <c r="A44" i="39"/>
  <c r="L43" i="39"/>
  <c r="A43" i="39"/>
  <c r="L42" i="39"/>
  <c r="A42" i="39"/>
  <c r="L41" i="39"/>
  <c r="A41" i="39"/>
  <c r="L40" i="39"/>
  <c r="A40" i="39"/>
  <c r="L39" i="39"/>
  <c r="A39" i="39"/>
  <c r="L38" i="39"/>
  <c r="A38" i="39"/>
  <c r="L37" i="39"/>
  <c r="A37" i="39"/>
  <c r="L36" i="39"/>
  <c r="A36" i="39"/>
  <c r="L35" i="39"/>
  <c r="A35" i="39"/>
  <c r="L34" i="39"/>
  <c r="A34" i="39"/>
  <c r="L33" i="39"/>
  <c r="A33" i="39"/>
  <c r="A7" i="39"/>
  <c r="D64" i="38"/>
  <c r="C25" i="38" s="1"/>
  <c r="E25" i="38" s="1"/>
  <c r="C64" i="38"/>
  <c r="C15" i="38" s="1"/>
  <c r="E15" i="38" s="1"/>
  <c r="L63" i="38"/>
  <c r="A63" i="38"/>
  <c r="L62" i="38"/>
  <c r="A62" i="38"/>
  <c r="L61" i="38"/>
  <c r="A61" i="38"/>
  <c r="L60" i="38"/>
  <c r="A60" i="38"/>
  <c r="L59" i="38"/>
  <c r="A59" i="38"/>
  <c r="L58" i="38"/>
  <c r="A58" i="38"/>
  <c r="L57" i="38"/>
  <c r="A57" i="38"/>
  <c r="L56" i="38"/>
  <c r="A56" i="38"/>
  <c r="L55" i="38"/>
  <c r="A55" i="38"/>
  <c r="L54" i="38"/>
  <c r="A54" i="38"/>
  <c r="L53" i="38"/>
  <c r="A53" i="38"/>
  <c r="L52" i="38"/>
  <c r="A52" i="38"/>
  <c r="L51" i="38"/>
  <c r="A51" i="38"/>
  <c r="L50" i="38"/>
  <c r="A50" i="38"/>
  <c r="L49" i="38"/>
  <c r="A49" i="38"/>
  <c r="L48" i="38"/>
  <c r="A48" i="38"/>
  <c r="L47" i="38"/>
  <c r="A47" i="38"/>
  <c r="L46" i="38"/>
  <c r="A46" i="38"/>
  <c r="L45" i="38"/>
  <c r="A45" i="38"/>
  <c r="L44" i="38"/>
  <c r="A44" i="38"/>
  <c r="L43" i="38"/>
  <c r="A43" i="38"/>
  <c r="L42" i="38"/>
  <c r="A42" i="38"/>
  <c r="L41" i="38"/>
  <c r="A41" i="38"/>
  <c r="L40" i="38"/>
  <c r="A40" i="38"/>
  <c r="L39" i="38"/>
  <c r="A39" i="38"/>
  <c r="L38" i="38"/>
  <c r="A38" i="38"/>
  <c r="L37" i="38"/>
  <c r="A37" i="38"/>
  <c r="L36" i="38"/>
  <c r="A36" i="38"/>
  <c r="L35" i="38"/>
  <c r="A35" i="38"/>
  <c r="L34" i="38"/>
  <c r="A34" i="38"/>
  <c r="L33" i="38"/>
  <c r="A33" i="38"/>
  <c r="E21" i="38"/>
  <c r="C21" i="38"/>
  <c r="C19" i="38"/>
  <c r="E19" i="38" s="1"/>
  <c r="C17" i="38"/>
  <c r="E17" i="38" s="1"/>
  <c r="E13" i="38"/>
  <c r="E11" i="38"/>
  <c r="A7" i="38"/>
  <c r="C25" i="37"/>
  <c r="A63" i="37"/>
  <c r="A62" i="37"/>
  <c r="A61" i="37"/>
  <c r="A60" i="37"/>
  <c r="A59" i="37"/>
  <c r="A58" i="37"/>
  <c r="A57" i="37"/>
  <c r="A56" i="37"/>
  <c r="A55" i="37"/>
  <c r="A54" i="37"/>
  <c r="A53" i="37"/>
  <c r="A52" i="37"/>
  <c r="A51" i="37"/>
  <c r="A50" i="37"/>
  <c r="A49" i="37"/>
  <c r="A48" i="37"/>
  <c r="A47" i="37"/>
  <c r="A46" i="37"/>
  <c r="A45" i="37"/>
  <c r="A44" i="37"/>
  <c r="A43" i="37"/>
  <c r="A42" i="37"/>
  <c r="A41" i="37"/>
  <c r="A40" i="37"/>
  <c r="A39" i="37"/>
  <c r="A38" i="37"/>
  <c r="A37" i="37"/>
  <c r="A36" i="37"/>
  <c r="A35" i="37"/>
  <c r="A34" i="37"/>
  <c r="A33" i="37"/>
  <c r="C21" i="37"/>
  <c r="A7" i="37"/>
  <c r="A63" i="36"/>
  <c r="A62" i="36"/>
  <c r="A61" i="36"/>
  <c r="A60" i="36"/>
  <c r="A59" i="36"/>
  <c r="A58" i="36"/>
  <c r="A57" i="36"/>
  <c r="A56" i="36"/>
  <c r="A55" i="36"/>
  <c r="A54" i="36"/>
  <c r="A53" i="36"/>
  <c r="A52" i="36"/>
  <c r="A51" i="36"/>
  <c r="A50" i="36"/>
  <c r="A49" i="36"/>
  <c r="A48" i="36"/>
  <c r="A47" i="36"/>
  <c r="A46" i="36"/>
  <c r="A45" i="36"/>
  <c r="A44" i="36"/>
  <c r="A43" i="36"/>
  <c r="A42" i="36"/>
  <c r="A41" i="36"/>
  <c r="A40" i="36"/>
  <c r="A39" i="36"/>
  <c r="A38" i="36"/>
  <c r="A37" i="36"/>
  <c r="A36" i="36"/>
  <c r="A35" i="36"/>
  <c r="A34" i="36"/>
  <c r="A33" i="36"/>
  <c r="C21" i="36"/>
  <c r="E21" i="36" s="1"/>
  <c r="C17" i="36"/>
  <c r="E17" i="36" s="1"/>
  <c r="E13" i="36"/>
  <c r="E11" i="36"/>
  <c r="A7" i="36"/>
  <c r="A63" i="35"/>
  <c r="A62" i="35"/>
  <c r="A61" i="35"/>
  <c r="A60" i="35"/>
  <c r="A59" i="35"/>
  <c r="A58" i="35"/>
  <c r="A57" i="35"/>
  <c r="A56" i="35"/>
  <c r="A55" i="35"/>
  <c r="A54" i="35"/>
  <c r="A53" i="35"/>
  <c r="A52" i="35"/>
  <c r="A51" i="35"/>
  <c r="A50" i="35"/>
  <c r="A49" i="35"/>
  <c r="A48" i="35"/>
  <c r="A47" i="35"/>
  <c r="A46" i="35"/>
  <c r="A45" i="35"/>
  <c r="A44" i="35"/>
  <c r="A43" i="35"/>
  <c r="A42" i="35"/>
  <c r="A41" i="35"/>
  <c r="A40" i="35"/>
  <c r="A39" i="35"/>
  <c r="A38" i="35"/>
  <c r="A37" i="35"/>
  <c r="A36" i="35"/>
  <c r="A35" i="35"/>
  <c r="A34" i="35"/>
  <c r="A33" i="35"/>
  <c r="C21" i="35"/>
  <c r="E21" i="35" s="1"/>
  <c r="E19" i="35"/>
  <c r="C17" i="35"/>
  <c r="E17" i="35" s="1"/>
  <c r="E13" i="35"/>
  <c r="E11" i="35"/>
  <c r="A7" i="35"/>
  <c r="A63" i="34"/>
  <c r="A62" i="34"/>
  <c r="A61" i="34"/>
  <c r="A60" i="34"/>
  <c r="A59" i="34"/>
  <c r="A58" i="34"/>
  <c r="A57" i="34"/>
  <c r="A56" i="34"/>
  <c r="A55" i="34"/>
  <c r="A54" i="34"/>
  <c r="A53" i="34"/>
  <c r="A52" i="34"/>
  <c r="A51" i="34"/>
  <c r="A50" i="34"/>
  <c r="A49" i="34"/>
  <c r="A48" i="34"/>
  <c r="A47" i="34"/>
  <c r="A46" i="34"/>
  <c r="A45" i="34"/>
  <c r="A44" i="34"/>
  <c r="A43" i="34"/>
  <c r="A42" i="34"/>
  <c r="A41" i="34"/>
  <c r="A40" i="34"/>
  <c r="A39" i="34"/>
  <c r="A38" i="34"/>
  <c r="A37" i="34"/>
  <c r="A36" i="34"/>
  <c r="A35" i="34"/>
  <c r="A34" i="34"/>
  <c r="A33" i="34"/>
  <c r="C21" i="34"/>
  <c r="E21" i="34" s="1"/>
  <c r="E11" i="34"/>
  <c r="A7" i="34"/>
  <c r="A63" i="33"/>
  <c r="A62" i="33"/>
  <c r="A61" i="33"/>
  <c r="A60" i="33"/>
  <c r="A59" i="33"/>
  <c r="A58" i="33"/>
  <c r="A57" i="33"/>
  <c r="A56" i="33"/>
  <c r="A55" i="33"/>
  <c r="A54" i="33"/>
  <c r="A53" i="33"/>
  <c r="A52" i="33"/>
  <c r="A51" i="33"/>
  <c r="A50" i="33"/>
  <c r="A49" i="33"/>
  <c r="A48" i="33"/>
  <c r="A47" i="33"/>
  <c r="A46" i="33"/>
  <c r="A45" i="33"/>
  <c r="A44" i="33"/>
  <c r="A43" i="33"/>
  <c r="A42" i="33"/>
  <c r="A41" i="33"/>
  <c r="A40" i="33"/>
  <c r="A39" i="33"/>
  <c r="A38" i="33"/>
  <c r="A37" i="33"/>
  <c r="A36" i="33"/>
  <c r="A35" i="33"/>
  <c r="A34" i="33"/>
  <c r="A33" i="33"/>
  <c r="C25" i="33"/>
  <c r="C21" i="33"/>
  <c r="E21" i="33" s="1"/>
  <c r="C19" i="33"/>
  <c r="E19" i="33" s="1"/>
  <c r="C17" i="33"/>
  <c r="E17" i="33" s="1"/>
  <c r="E11" i="33"/>
  <c r="J9" i="33"/>
  <c r="A7" i="33"/>
  <c r="A63" i="32"/>
  <c r="A62" i="32"/>
  <c r="A61" i="32"/>
  <c r="A60" i="32"/>
  <c r="A59" i="32"/>
  <c r="A58" i="32"/>
  <c r="A57" i="32"/>
  <c r="A56" i="32"/>
  <c r="A55" i="32"/>
  <c r="A54" i="32"/>
  <c r="A53" i="32"/>
  <c r="A52" i="32"/>
  <c r="A51" i="32"/>
  <c r="A50" i="32"/>
  <c r="A49" i="32"/>
  <c r="A48" i="32"/>
  <c r="A47" i="32"/>
  <c r="A46" i="32"/>
  <c r="A45" i="32"/>
  <c r="A44" i="32"/>
  <c r="A43" i="32"/>
  <c r="A42" i="32"/>
  <c r="A41" i="32"/>
  <c r="A40" i="32"/>
  <c r="A39" i="32"/>
  <c r="A38" i="32"/>
  <c r="A37" i="32"/>
  <c r="A36" i="32"/>
  <c r="A35" i="32"/>
  <c r="A34" i="32"/>
  <c r="A33" i="32"/>
  <c r="C21" i="32"/>
  <c r="E21" i="32" s="1"/>
  <c r="C19" i="32"/>
  <c r="E19" i="32" s="1"/>
  <c r="C17" i="32"/>
  <c r="E17" i="32" s="1"/>
  <c r="E11" i="32"/>
  <c r="A7" i="32"/>
  <c r="K64" i="31"/>
  <c r="J64" i="31"/>
  <c r="C21" i="31"/>
  <c r="E21" i="31" s="1"/>
  <c r="C19" i="31"/>
  <c r="E19" i="31" s="1"/>
  <c r="C17" i="31"/>
  <c r="E17" i="31" s="1"/>
  <c r="C25" i="31"/>
  <c r="E25" i="31" s="1"/>
  <c r="L63" i="31"/>
  <c r="A63" i="31"/>
  <c r="L62" i="31"/>
  <c r="A62" i="31"/>
  <c r="L61" i="31"/>
  <c r="A61" i="31"/>
  <c r="L60" i="31"/>
  <c r="A60" i="31"/>
  <c r="L59" i="31"/>
  <c r="A59" i="31"/>
  <c r="L58" i="31"/>
  <c r="A58" i="31"/>
  <c r="L57" i="31"/>
  <c r="A57" i="31"/>
  <c r="L56" i="31"/>
  <c r="A56" i="31"/>
  <c r="L55" i="31"/>
  <c r="A55" i="31"/>
  <c r="L54" i="31"/>
  <c r="A54" i="31"/>
  <c r="L53" i="31"/>
  <c r="A53" i="31"/>
  <c r="L52" i="31"/>
  <c r="A52" i="31"/>
  <c r="L51" i="31"/>
  <c r="A51" i="31"/>
  <c r="L50" i="31"/>
  <c r="A50" i="31"/>
  <c r="L49" i="31"/>
  <c r="A49" i="31"/>
  <c r="L48" i="31"/>
  <c r="A48" i="31"/>
  <c r="L47" i="31"/>
  <c r="A47" i="31"/>
  <c r="L46" i="31"/>
  <c r="A46" i="31"/>
  <c r="L45" i="31"/>
  <c r="A45" i="31"/>
  <c r="L44" i="31"/>
  <c r="A44" i="31"/>
  <c r="L43" i="31"/>
  <c r="A43" i="31"/>
  <c r="L42" i="31"/>
  <c r="A42" i="31"/>
  <c r="L41" i="31"/>
  <c r="A41" i="31"/>
  <c r="L40" i="31"/>
  <c r="A40" i="31"/>
  <c r="L39" i="31"/>
  <c r="A39" i="31"/>
  <c r="L38" i="31"/>
  <c r="A38" i="31"/>
  <c r="L37" i="31"/>
  <c r="A37" i="31"/>
  <c r="L36" i="31"/>
  <c r="A36" i="31"/>
  <c r="L35" i="31"/>
  <c r="A35" i="31"/>
  <c r="L34" i="31"/>
  <c r="A34" i="31"/>
  <c r="L33" i="31"/>
  <c r="A33" i="31"/>
  <c r="A7" i="31"/>
  <c r="L63" i="30"/>
  <c r="A63" i="30"/>
  <c r="L62" i="30"/>
  <c r="A62" i="30"/>
  <c r="L61" i="30"/>
  <c r="A61" i="30"/>
  <c r="L60" i="30"/>
  <c r="A60" i="30"/>
  <c r="L59" i="30"/>
  <c r="A59" i="30"/>
  <c r="L58" i="30"/>
  <c r="A58" i="30"/>
  <c r="L57" i="30"/>
  <c r="A57" i="30"/>
  <c r="L56" i="30"/>
  <c r="A56" i="30"/>
  <c r="L55" i="30"/>
  <c r="A55" i="30"/>
  <c r="L54" i="30"/>
  <c r="A54" i="30"/>
  <c r="L53" i="30"/>
  <c r="A53" i="30"/>
  <c r="L52" i="30"/>
  <c r="A52" i="30"/>
  <c r="L51" i="30"/>
  <c r="A51" i="30"/>
  <c r="L50" i="30"/>
  <c r="A50" i="30"/>
  <c r="L49" i="30"/>
  <c r="A49" i="30"/>
  <c r="L48" i="30"/>
  <c r="A48" i="30"/>
  <c r="L47" i="30"/>
  <c r="A47" i="30"/>
  <c r="L46" i="30"/>
  <c r="A46" i="30"/>
  <c r="L45" i="30"/>
  <c r="A45" i="30"/>
  <c r="L44" i="30"/>
  <c r="A44" i="30"/>
  <c r="L43" i="30"/>
  <c r="A43" i="30"/>
  <c r="L42" i="30"/>
  <c r="A42" i="30"/>
  <c r="L41" i="30"/>
  <c r="A41" i="30"/>
  <c r="L40" i="30"/>
  <c r="A40" i="30"/>
  <c r="L39" i="30"/>
  <c r="A39" i="30"/>
  <c r="L38" i="30"/>
  <c r="A38" i="30"/>
  <c r="L37" i="30"/>
  <c r="A37" i="30"/>
  <c r="L36" i="30"/>
  <c r="A36" i="30"/>
  <c r="L35" i="30"/>
  <c r="A35" i="30"/>
  <c r="L34" i="30"/>
  <c r="A34" i="30"/>
  <c r="L33" i="30"/>
  <c r="A33" i="30"/>
  <c r="C21" i="30"/>
  <c r="E21" i="30" s="1"/>
  <c r="C19" i="30"/>
  <c r="E19" i="30" s="1"/>
  <c r="C17" i="30"/>
  <c r="E17" i="30" s="1"/>
  <c r="C15" i="30"/>
  <c r="E15" i="30" s="1"/>
  <c r="E11" i="30"/>
  <c r="A7" i="30"/>
  <c r="K64" i="29"/>
  <c r="J64" i="29"/>
  <c r="C21" i="29"/>
  <c r="E21" i="29" s="1"/>
  <c r="C19" i="29"/>
  <c r="E19" i="29" s="1"/>
  <c r="C17" i="29"/>
  <c r="E17" i="29" s="1"/>
  <c r="C25" i="29"/>
  <c r="E25" i="29" s="1"/>
  <c r="A63" i="29"/>
  <c r="A62" i="29"/>
  <c r="A61" i="29"/>
  <c r="A60" i="29"/>
  <c r="A59" i="29"/>
  <c r="A58" i="29"/>
  <c r="A57" i="29"/>
  <c r="A56" i="29"/>
  <c r="A55" i="29"/>
  <c r="A54" i="29"/>
  <c r="A53" i="29"/>
  <c r="A52" i="29"/>
  <c r="A51" i="29"/>
  <c r="A50" i="29"/>
  <c r="A49" i="29"/>
  <c r="A48" i="29"/>
  <c r="A47" i="29"/>
  <c r="A46" i="29"/>
  <c r="A45" i="29"/>
  <c r="A44" i="29"/>
  <c r="A43" i="29"/>
  <c r="A42" i="29"/>
  <c r="A41" i="29"/>
  <c r="A40" i="29"/>
  <c r="A39" i="29"/>
  <c r="A38" i="29"/>
  <c r="A37" i="29"/>
  <c r="A36" i="29"/>
  <c r="A35" i="29"/>
  <c r="A34" i="29"/>
  <c r="A33" i="29"/>
  <c r="C13" i="29"/>
  <c r="E13" i="29" s="1"/>
  <c r="A7" i="29"/>
  <c r="K64" i="27"/>
  <c r="J64" i="27"/>
  <c r="I64" i="27"/>
  <c r="C21" i="27" s="1"/>
  <c r="E21" i="27" s="1"/>
  <c r="H64" i="27"/>
  <c r="C19" i="27" s="1"/>
  <c r="E19" i="27" s="1"/>
  <c r="G64" i="27"/>
  <c r="F64" i="27"/>
  <c r="E64" i="27"/>
  <c r="C15" i="27" s="1"/>
  <c r="E15" i="27" s="1"/>
  <c r="D64" i="27"/>
  <c r="C13" i="27" s="1"/>
  <c r="E13" i="27" s="1"/>
  <c r="C64" i="27"/>
  <c r="C11" i="27" s="1"/>
  <c r="E11" i="27" s="1"/>
  <c r="L63" i="27"/>
  <c r="A63" i="27"/>
  <c r="L62" i="27"/>
  <c r="A62" i="27"/>
  <c r="L61" i="27"/>
  <c r="A61" i="27"/>
  <c r="L60" i="27"/>
  <c r="A60" i="27"/>
  <c r="L59" i="27"/>
  <c r="A59" i="27"/>
  <c r="L58" i="27"/>
  <c r="A58" i="27"/>
  <c r="L57" i="27"/>
  <c r="A57" i="27"/>
  <c r="L56" i="27"/>
  <c r="A56" i="27"/>
  <c r="L55" i="27"/>
  <c r="A55" i="27"/>
  <c r="L54" i="27"/>
  <c r="A54" i="27"/>
  <c r="L53" i="27"/>
  <c r="A53" i="27"/>
  <c r="L52" i="27"/>
  <c r="A52" i="27"/>
  <c r="L51" i="27"/>
  <c r="A51" i="27"/>
  <c r="L50" i="27"/>
  <c r="A50" i="27"/>
  <c r="L49" i="27"/>
  <c r="A49" i="27"/>
  <c r="L48" i="27"/>
  <c r="A48" i="27"/>
  <c r="L47" i="27"/>
  <c r="A47" i="27"/>
  <c r="L46" i="27"/>
  <c r="A46" i="27"/>
  <c r="L45" i="27"/>
  <c r="A45" i="27"/>
  <c r="L44" i="27"/>
  <c r="A44" i="27"/>
  <c r="L43" i="27"/>
  <c r="A43" i="27"/>
  <c r="L42" i="27"/>
  <c r="A42" i="27"/>
  <c r="L41" i="27"/>
  <c r="A41" i="27"/>
  <c r="L40" i="27"/>
  <c r="A40" i="27"/>
  <c r="L39" i="27"/>
  <c r="A39" i="27"/>
  <c r="L38" i="27"/>
  <c r="A38" i="27"/>
  <c r="L37" i="27"/>
  <c r="A37" i="27"/>
  <c r="L36" i="27"/>
  <c r="A36" i="27"/>
  <c r="L35" i="27"/>
  <c r="A35" i="27"/>
  <c r="L34" i="27"/>
  <c r="A34" i="27"/>
  <c r="L33" i="27"/>
  <c r="A33" i="27"/>
  <c r="C25" i="27"/>
  <c r="C17" i="27"/>
  <c r="E17" i="27" s="1"/>
  <c r="A7" i="27"/>
  <c r="K64" i="26"/>
  <c r="J64" i="26"/>
  <c r="I64" i="26"/>
  <c r="C21" i="26" s="1"/>
  <c r="E21" i="26" s="1"/>
  <c r="H64" i="26"/>
  <c r="G64" i="26"/>
  <c r="C17" i="26" s="1"/>
  <c r="E17" i="26" s="1"/>
  <c r="F64" i="26"/>
  <c r="C25" i="26" s="1"/>
  <c r="E64" i="26"/>
  <c r="C15" i="26" s="1"/>
  <c r="E15" i="26" s="1"/>
  <c r="D64" i="26"/>
  <c r="C64" i="26"/>
  <c r="C11" i="26" s="1"/>
  <c r="E11" i="26" s="1"/>
  <c r="L63" i="26"/>
  <c r="A63" i="26"/>
  <c r="L62" i="26"/>
  <c r="A62" i="26"/>
  <c r="L61" i="26"/>
  <c r="A61" i="26"/>
  <c r="L60" i="26"/>
  <c r="A60" i="26"/>
  <c r="L59" i="26"/>
  <c r="A59" i="26"/>
  <c r="L58" i="26"/>
  <c r="A58" i="26"/>
  <c r="L57" i="26"/>
  <c r="A57" i="26"/>
  <c r="L56" i="26"/>
  <c r="A56" i="26"/>
  <c r="L55" i="26"/>
  <c r="A55" i="26"/>
  <c r="L54" i="26"/>
  <c r="A54" i="26"/>
  <c r="L53" i="26"/>
  <c r="A53" i="26"/>
  <c r="L52" i="26"/>
  <c r="A52" i="26"/>
  <c r="L51" i="26"/>
  <c r="A51" i="26"/>
  <c r="L50" i="26"/>
  <c r="A50" i="26"/>
  <c r="L49" i="26"/>
  <c r="A49" i="26"/>
  <c r="L48" i="26"/>
  <c r="A48" i="26"/>
  <c r="L47" i="26"/>
  <c r="A47" i="26"/>
  <c r="L46" i="26"/>
  <c r="A46" i="26"/>
  <c r="L45" i="26"/>
  <c r="A45" i="26"/>
  <c r="L44" i="26"/>
  <c r="A44" i="26"/>
  <c r="L43" i="26"/>
  <c r="A43" i="26"/>
  <c r="L42" i="26"/>
  <c r="A42" i="26"/>
  <c r="L41" i="26"/>
  <c r="A41" i="26"/>
  <c r="L40" i="26"/>
  <c r="A40" i="26"/>
  <c r="L39" i="26"/>
  <c r="A39" i="26"/>
  <c r="L38" i="26"/>
  <c r="A38" i="26"/>
  <c r="L37" i="26"/>
  <c r="A37" i="26"/>
  <c r="L36" i="26"/>
  <c r="A36" i="26"/>
  <c r="L35" i="26"/>
  <c r="A35" i="26"/>
  <c r="L34" i="26"/>
  <c r="A34" i="26"/>
  <c r="L33" i="26"/>
  <c r="A33" i="26"/>
  <c r="C19" i="26"/>
  <c r="E19" i="26" s="1"/>
  <c r="A7" i="26"/>
  <c r="K64" i="25"/>
  <c r="J64" i="25"/>
  <c r="I64" i="25"/>
  <c r="C21" i="25" s="1"/>
  <c r="E21" i="25" s="1"/>
  <c r="H64" i="25"/>
  <c r="C19" i="25" s="1"/>
  <c r="E19" i="25" s="1"/>
  <c r="G64" i="25"/>
  <c r="C17" i="25" s="1"/>
  <c r="E17" i="25" s="1"/>
  <c r="F64" i="25"/>
  <c r="C25" i="25" s="1"/>
  <c r="E64" i="25"/>
  <c r="C15" i="25" s="1"/>
  <c r="E15" i="25" s="1"/>
  <c r="D64" i="25"/>
  <c r="C64" i="25"/>
  <c r="C11" i="25" s="1"/>
  <c r="E11" i="25" s="1"/>
  <c r="L63" i="25"/>
  <c r="A63" i="25"/>
  <c r="L62" i="25"/>
  <c r="A62" i="25"/>
  <c r="L61" i="25"/>
  <c r="A61" i="25"/>
  <c r="L60" i="25"/>
  <c r="A60" i="25"/>
  <c r="L59" i="25"/>
  <c r="A59" i="25"/>
  <c r="L58" i="25"/>
  <c r="A58" i="25"/>
  <c r="L57" i="25"/>
  <c r="A57" i="25"/>
  <c r="L56" i="25"/>
  <c r="A56" i="25"/>
  <c r="L55" i="25"/>
  <c r="A55" i="25"/>
  <c r="L54" i="25"/>
  <c r="A54" i="25"/>
  <c r="L53" i="25"/>
  <c r="A53" i="25"/>
  <c r="L52" i="25"/>
  <c r="A52" i="25"/>
  <c r="L51" i="25"/>
  <c r="A51" i="25"/>
  <c r="L50" i="25"/>
  <c r="A50" i="25"/>
  <c r="L49" i="25"/>
  <c r="A49" i="25"/>
  <c r="L48" i="25"/>
  <c r="A48" i="25"/>
  <c r="L47" i="25"/>
  <c r="A47" i="25"/>
  <c r="L46" i="25"/>
  <c r="A46" i="25"/>
  <c r="L45" i="25"/>
  <c r="A45" i="25"/>
  <c r="L44" i="25"/>
  <c r="A44" i="25"/>
  <c r="L43" i="25"/>
  <c r="A43" i="25"/>
  <c r="L42" i="25"/>
  <c r="A42" i="25"/>
  <c r="L41" i="25"/>
  <c r="A41" i="25"/>
  <c r="L40" i="25"/>
  <c r="A40" i="25"/>
  <c r="L39" i="25"/>
  <c r="A39" i="25"/>
  <c r="L38" i="25"/>
  <c r="A38" i="25"/>
  <c r="L37" i="25"/>
  <c r="A37" i="25"/>
  <c r="L36" i="25"/>
  <c r="A36" i="25"/>
  <c r="L35" i="25"/>
  <c r="A35" i="25"/>
  <c r="L34" i="25"/>
  <c r="A34" i="25"/>
  <c r="L33" i="25"/>
  <c r="A33" i="25"/>
  <c r="C13" i="25"/>
  <c r="E13" i="25" s="1"/>
  <c r="A7" i="25"/>
  <c r="K64" i="23"/>
  <c r="J64" i="23"/>
  <c r="C21" i="23"/>
  <c r="E21" i="23" s="1"/>
  <c r="C19" i="23"/>
  <c r="E19" i="23" s="1"/>
  <c r="C17" i="23"/>
  <c r="E17" i="23" s="1"/>
  <c r="L63" i="23"/>
  <c r="A63" i="23"/>
  <c r="L62" i="23"/>
  <c r="A62" i="23"/>
  <c r="L61" i="23"/>
  <c r="A61" i="23"/>
  <c r="L60" i="23"/>
  <c r="A60" i="23"/>
  <c r="L59" i="23"/>
  <c r="A59" i="23"/>
  <c r="L58" i="23"/>
  <c r="A58" i="23"/>
  <c r="L57" i="23"/>
  <c r="A57" i="23"/>
  <c r="L56" i="23"/>
  <c r="A56" i="23"/>
  <c r="L55" i="23"/>
  <c r="A55" i="23"/>
  <c r="L54" i="23"/>
  <c r="A54" i="23"/>
  <c r="L53" i="23"/>
  <c r="A53" i="23"/>
  <c r="L52" i="23"/>
  <c r="A52" i="23"/>
  <c r="L51" i="23"/>
  <c r="A51" i="23"/>
  <c r="L50" i="23"/>
  <c r="A50" i="23"/>
  <c r="L49" i="23"/>
  <c r="A49" i="23"/>
  <c r="L48" i="23"/>
  <c r="A48" i="23"/>
  <c r="L47" i="23"/>
  <c r="A47" i="23"/>
  <c r="L46" i="23"/>
  <c r="A46" i="23"/>
  <c r="L45" i="23"/>
  <c r="A45" i="23"/>
  <c r="L44" i="23"/>
  <c r="A44" i="23"/>
  <c r="L43" i="23"/>
  <c r="A43" i="23"/>
  <c r="L42" i="23"/>
  <c r="A42" i="23"/>
  <c r="L41" i="23"/>
  <c r="A41" i="23"/>
  <c r="L40" i="23"/>
  <c r="A40" i="23"/>
  <c r="L39" i="23"/>
  <c r="A39" i="23"/>
  <c r="L38" i="23"/>
  <c r="A38" i="23"/>
  <c r="L37" i="23"/>
  <c r="A37" i="23"/>
  <c r="L36" i="23"/>
  <c r="A36" i="23"/>
  <c r="L35" i="23"/>
  <c r="A35" i="23"/>
  <c r="L34" i="23"/>
  <c r="A34" i="23"/>
  <c r="L33" i="23"/>
  <c r="A33" i="23"/>
  <c r="A7" i="23"/>
  <c r="K64" i="22"/>
  <c r="J64" i="22"/>
  <c r="C19" i="22"/>
  <c r="E19" i="22" s="1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E11" i="22"/>
  <c r="A7" i="22"/>
  <c r="K64" i="21"/>
  <c r="J64" i="21"/>
  <c r="I64" i="21"/>
  <c r="C21" i="21" s="1"/>
  <c r="E21" i="21" s="1"/>
  <c r="H64" i="21"/>
  <c r="C19" i="21" s="1"/>
  <c r="E19" i="21" s="1"/>
  <c r="G64" i="21"/>
  <c r="C17" i="21" s="1"/>
  <c r="E17" i="21" s="1"/>
  <c r="F64" i="21"/>
  <c r="E64" i="21"/>
  <c r="C15" i="21" s="1"/>
  <c r="E15" i="21" s="1"/>
  <c r="D64" i="21"/>
  <c r="C11" i="21" s="1"/>
  <c r="E11" i="21" s="1"/>
  <c r="C64" i="21"/>
  <c r="C13" i="21" s="1"/>
  <c r="E13" i="21" s="1"/>
  <c r="L63" i="21"/>
  <c r="A63" i="21"/>
  <c r="L62" i="21"/>
  <c r="A62" i="21"/>
  <c r="L61" i="21"/>
  <c r="A61" i="21"/>
  <c r="L60" i="21"/>
  <c r="A60" i="21"/>
  <c r="L59" i="21"/>
  <c r="A59" i="21"/>
  <c r="L58" i="21"/>
  <c r="A58" i="21"/>
  <c r="L57" i="21"/>
  <c r="A57" i="21"/>
  <c r="L56" i="21"/>
  <c r="A56" i="21"/>
  <c r="L55" i="21"/>
  <c r="A55" i="21"/>
  <c r="L54" i="21"/>
  <c r="A54" i="21"/>
  <c r="L53" i="21"/>
  <c r="A53" i="21"/>
  <c r="L52" i="21"/>
  <c r="A52" i="21"/>
  <c r="L51" i="21"/>
  <c r="A51" i="21"/>
  <c r="L50" i="21"/>
  <c r="A50" i="21"/>
  <c r="L49" i="21"/>
  <c r="A49" i="21"/>
  <c r="L48" i="21"/>
  <c r="A48" i="21"/>
  <c r="L47" i="21"/>
  <c r="A47" i="21"/>
  <c r="L46" i="21"/>
  <c r="A46" i="21"/>
  <c r="L45" i="21"/>
  <c r="A45" i="21"/>
  <c r="L44" i="21"/>
  <c r="A44" i="21"/>
  <c r="L43" i="21"/>
  <c r="A43" i="21"/>
  <c r="L42" i="21"/>
  <c r="A42" i="21"/>
  <c r="L41" i="21"/>
  <c r="A41" i="21"/>
  <c r="L40" i="21"/>
  <c r="A40" i="21"/>
  <c r="L39" i="21"/>
  <c r="A39" i="21"/>
  <c r="L38" i="21"/>
  <c r="A38" i="21"/>
  <c r="L37" i="21"/>
  <c r="A37" i="21"/>
  <c r="L36" i="21"/>
  <c r="A36" i="21"/>
  <c r="L35" i="21"/>
  <c r="A35" i="21"/>
  <c r="L34" i="21"/>
  <c r="A34" i="21"/>
  <c r="L33" i="21"/>
  <c r="A33" i="21"/>
  <c r="C25" i="21"/>
  <c r="E25" i="21" s="1"/>
  <c r="A7" i="21"/>
  <c r="K64" i="19"/>
  <c r="J64" i="19"/>
  <c r="C21" i="19"/>
  <c r="E21" i="19" s="1"/>
  <c r="C19" i="19"/>
  <c r="E19" i="19" s="1"/>
  <c r="C17" i="19"/>
  <c r="E17" i="19" s="1"/>
  <c r="L63" i="19"/>
  <c r="A63" i="19"/>
  <c r="L62" i="19"/>
  <c r="A62" i="19"/>
  <c r="L61" i="19"/>
  <c r="A61" i="19"/>
  <c r="L60" i="19"/>
  <c r="A60" i="19"/>
  <c r="L59" i="19"/>
  <c r="A59" i="19"/>
  <c r="L58" i="19"/>
  <c r="A58" i="19"/>
  <c r="L57" i="19"/>
  <c r="A57" i="19"/>
  <c r="L56" i="19"/>
  <c r="A56" i="19"/>
  <c r="L55" i="19"/>
  <c r="A55" i="19"/>
  <c r="L54" i="19"/>
  <c r="A54" i="19"/>
  <c r="L53" i="19"/>
  <c r="A53" i="19"/>
  <c r="L52" i="19"/>
  <c r="A52" i="19"/>
  <c r="L51" i="19"/>
  <c r="A51" i="19"/>
  <c r="L50" i="19"/>
  <c r="A50" i="19"/>
  <c r="L49" i="19"/>
  <c r="A49" i="19"/>
  <c r="L48" i="19"/>
  <c r="A48" i="19"/>
  <c r="L47" i="19"/>
  <c r="A47" i="19"/>
  <c r="L46" i="19"/>
  <c r="A46" i="19"/>
  <c r="L45" i="19"/>
  <c r="A45" i="19"/>
  <c r="L44" i="19"/>
  <c r="A44" i="19"/>
  <c r="L43" i="19"/>
  <c r="A43" i="19"/>
  <c r="L42" i="19"/>
  <c r="A42" i="19"/>
  <c r="L41" i="19"/>
  <c r="A41" i="19"/>
  <c r="L40" i="19"/>
  <c r="A40" i="19"/>
  <c r="L39" i="19"/>
  <c r="A39" i="19"/>
  <c r="L38" i="19"/>
  <c r="A38" i="19"/>
  <c r="L37" i="19"/>
  <c r="A37" i="19"/>
  <c r="L36" i="19"/>
  <c r="A36" i="19"/>
  <c r="L35" i="19"/>
  <c r="A35" i="19"/>
  <c r="L34" i="19"/>
  <c r="A34" i="19"/>
  <c r="L33" i="19"/>
  <c r="A33" i="19"/>
  <c r="A7" i="19"/>
  <c r="K64" i="18"/>
  <c r="J64" i="18"/>
  <c r="C21" i="18"/>
  <c r="E21" i="18" s="1"/>
  <c r="C19" i="18"/>
  <c r="E19" i="18" s="1"/>
  <c r="C17" i="18"/>
  <c r="E17" i="18" s="1"/>
  <c r="C25" i="18"/>
  <c r="A63" i="18"/>
  <c r="A62" i="18"/>
  <c r="A61" i="18"/>
  <c r="A60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C15" i="18"/>
  <c r="E15" i="18" s="1"/>
  <c r="A7" i="18"/>
  <c r="J64" i="17"/>
  <c r="C17" i="17"/>
  <c r="E17" i="17" s="1"/>
  <c r="C25" i="17"/>
  <c r="E25" i="17" s="1"/>
  <c r="C15" i="17"/>
  <c r="E15" i="17" s="1"/>
  <c r="C11" i="17"/>
  <c r="E11" i="17" s="1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C21" i="17"/>
  <c r="E21" i="17" s="1"/>
  <c r="G15" i="17"/>
  <c r="A7" i="17"/>
  <c r="K64" i="16"/>
  <c r="J64" i="16"/>
  <c r="C21" i="16"/>
  <c r="E21" i="16" s="1"/>
  <c r="C19" i="16"/>
  <c r="E19" i="16" s="1"/>
  <c r="C17" i="16"/>
  <c r="E17" i="16" s="1"/>
  <c r="C15" i="16"/>
  <c r="E15" i="16" s="1"/>
  <c r="C13" i="16"/>
  <c r="E13" i="16" s="1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7" i="16"/>
  <c r="K64" i="15"/>
  <c r="J64" i="15"/>
  <c r="C21" i="15"/>
  <c r="E21" i="15" s="1"/>
  <c r="A63" i="15"/>
  <c r="A62" i="15"/>
  <c r="A61" i="15"/>
  <c r="A60" i="15"/>
  <c r="A59" i="15"/>
  <c r="A58" i="15"/>
  <c r="A57" i="15"/>
  <c r="A56" i="15"/>
  <c r="A55" i="15"/>
  <c r="A54" i="15"/>
  <c r="A53" i="15"/>
  <c r="A52" i="15"/>
  <c r="A51" i="15"/>
  <c r="A50" i="15"/>
  <c r="A49" i="15"/>
  <c r="A48" i="15"/>
  <c r="A47" i="15"/>
  <c r="A46" i="15"/>
  <c r="A45" i="15"/>
  <c r="A44" i="15"/>
  <c r="A43" i="15"/>
  <c r="A42" i="15"/>
  <c r="A41" i="15"/>
  <c r="A40" i="15"/>
  <c r="A39" i="15"/>
  <c r="A38" i="15"/>
  <c r="A37" i="15"/>
  <c r="A36" i="15"/>
  <c r="A35" i="15"/>
  <c r="A34" i="15"/>
  <c r="A7" i="15"/>
  <c r="C21" i="14"/>
  <c r="E21" i="14" s="1"/>
  <c r="C19" i="14"/>
  <c r="E19" i="14" s="1"/>
  <c r="C17" i="14"/>
  <c r="E17" i="14" s="1"/>
  <c r="C25" i="14"/>
  <c r="E25" i="14" s="1"/>
  <c r="C15" i="14"/>
  <c r="E15" i="14" s="1"/>
  <c r="C13" i="14"/>
  <c r="E13" i="14" s="1"/>
  <c r="C11" i="14"/>
  <c r="E11" i="14" s="1"/>
  <c r="A7" i="14"/>
  <c r="K64" i="13"/>
  <c r="J64" i="13"/>
  <c r="C21" i="13"/>
  <c r="E21" i="13" s="1"/>
  <c r="C19" i="13"/>
  <c r="E19" i="13" s="1"/>
  <c r="A63" i="13"/>
  <c r="A62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7" i="13"/>
  <c r="K64" i="12"/>
  <c r="J64" i="12"/>
  <c r="C21" i="12"/>
  <c r="E21" i="12" s="1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7" i="12"/>
  <c r="C21" i="11"/>
  <c r="E21" i="11" s="1"/>
  <c r="C19" i="11"/>
  <c r="E19" i="11" s="1"/>
  <c r="C17" i="11"/>
  <c r="E17" i="11" s="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7" i="11"/>
  <c r="K64" i="10"/>
  <c r="J64" i="10"/>
  <c r="C21" i="10"/>
  <c r="E21" i="10" s="1"/>
  <c r="C19" i="10"/>
  <c r="E19" i="10" s="1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7" i="10"/>
  <c r="K64" i="9"/>
  <c r="J64" i="9"/>
  <c r="C21" i="9"/>
  <c r="E21" i="9" s="1"/>
  <c r="C19" i="9"/>
  <c r="E19" i="9" s="1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7" i="9"/>
  <c r="K64" i="8"/>
  <c r="J64" i="8"/>
  <c r="C21" i="8"/>
  <c r="E21" i="8" s="1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7" i="8"/>
  <c r="K64" i="7"/>
  <c r="J64" i="7"/>
  <c r="C21" i="7"/>
  <c r="E21" i="7" s="1"/>
  <c r="C19" i="7"/>
  <c r="E19" i="7" s="1"/>
  <c r="C17" i="7"/>
  <c r="E17" i="7" s="1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7" i="7"/>
  <c r="K64" i="6"/>
  <c r="J64" i="6"/>
  <c r="C21" i="6"/>
  <c r="E21" i="6" s="1"/>
  <c r="C19" i="6"/>
  <c r="E19" i="6" s="1"/>
  <c r="C17" i="6"/>
  <c r="E17" i="6" s="1"/>
  <c r="C25" i="6"/>
  <c r="C15" i="6"/>
  <c r="E15" i="6" s="1"/>
  <c r="C13" i="6"/>
  <c r="E13" i="6" s="1"/>
  <c r="C11" i="6"/>
  <c r="E11" i="6" s="1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7" i="6"/>
  <c r="C19" i="5"/>
  <c r="E19" i="5" s="1"/>
  <c r="C17" i="5"/>
  <c r="E17" i="5" s="1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C21" i="5"/>
  <c r="E21" i="5" s="1"/>
  <c r="A7" i="5"/>
  <c r="K64" i="4"/>
  <c r="J64" i="4"/>
  <c r="C19" i="4"/>
  <c r="E19" i="4" s="1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C21" i="4"/>
  <c r="E21" i="4" s="1"/>
  <c r="A7" i="4"/>
  <c r="J64" i="2"/>
  <c r="I64" i="2"/>
  <c r="C21" i="2" s="1"/>
  <c r="E21" i="2" s="1"/>
  <c r="H64" i="2"/>
  <c r="C19" i="2" s="1"/>
  <c r="E19" i="2" s="1"/>
  <c r="G64" i="2"/>
  <c r="C17" i="2" s="1"/>
  <c r="E17" i="2" s="1"/>
  <c r="F64" i="2"/>
  <c r="C25" i="2" s="1"/>
  <c r="E64" i="2"/>
  <c r="C15" i="2" s="1"/>
  <c r="E15" i="2" s="1"/>
  <c r="D64" i="2"/>
  <c r="J9" i="2" s="1"/>
  <c r="C64" i="2"/>
  <c r="C11" i="2" s="1"/>
  <c r="E11" i="2" s="1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K64" i="1"/>
  <c r="J64" i="1"/>
  <c r="I64" i="1"/>
  <c r="C21" i="1" s="1"/>
  <c r="E21" i="1" s="1"/>
  <c r="H64" i="1"/>
  <c r="C19" i="1" s="1"/>
  <c r="E19" i="1" s="1"/>
  <c r="G64" i="1"/>
  <c r="C17" i="1" s="1"/>
  <c r="E17" i="1" s="1"/>
  <c r="F64" i="1"/>
  <c r="C25" i="1" s="1"/>
  <c r="E64" i="1"/>
  <c r="C15" i="1" s="1"/>
  <c r="E15" i="1" s="1"/>
  <c r="D64" i="1"/>
  <c r="C13" i="1" s="1"/>
  <c r="E13" i="1" s="1"/>
  <c r="C64" i="1"/>
  <c r="C11" i="1" s="1"/>
  <c r="E11" i="1" s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7" i="1"/>
  <c r="K64" i="59"/>
  <c r="J64" i="59"/>
  <c r="E13" i="59"/>
  <c r="A63" i="59"/>
  <c r="A62" i="59"/>
  <c r="A61" i="59"/>
  <c r="A60" i="59"/>
  <c r="A59" i="59"/>
  <c r="A58" i="59"/>
  <c r="A57" i="59"/>
  <c r="A56" i="59"/>
  <c r="A55" i="59"/>
  <c r="A54" i="59"/>
  <c r="A53" i="59"/>
  <c r="A52" i="59"/>
  <c r="A51" i="59"/>
  <c r="A50" i="59"/>
  <c r="A49" i="59"/>
  <c r="A48" i="59"/>
  <c r="A47" i="59"/>
  <c r="A46" i="59"/>
  <c r="A45" i="59"/>
  <c r="A44" i="59"/>
  <c r="A43" i="59"/>
  <c r="A42" i="59"/>
  <c r="A41" i="59"/>
  <c r="A40" i="59"/>
  <c r="A39" i="59"/>
  <c r="A38" i="59"/>
  <c r="A37" i="59"/>
  <c r="A36" i="59"/>
  <c r="A35" i="59"/>
  <c r="A34" i="59"/>
  <c r="A33" i="59"/>
  <c r="C25" i="59"/>
  <c r="E25" i="59" s="1"/>
  <c r="C19" i="59"/>
  <c r="E19" i="59" s="1"/>
  <c r="C17" i="59"/>
  <c r="E17" i="59" s="1"/>
  <c r="E11" i="59"/>
  <c r="A7" i="59"/>
  <c r="E25" i="76" l="1"/>
  <c r="D27" i="76" s="1"/>
  <c r="J9" i="76"/>
  <c r="J11" i="76" s="1"/>
  <c r="I17" i="76"/>
  <c r="G27" i="76" s="1"/>
  <c r="E25" i="75"/>
  <c r="J11" i="75"/>
  <c r="C13" i="75"/>
  <c r="E13" i="75" s="1"/>
  <c r="D27" i="75" s="1"/>
  <c r="E25" i="74"/>
  <c r="J11" i="74"/>
  <c r="C13" i="74"/>
  <c r="E13" i="74" s="1"/>
  <c r="E25" i="73"/>
  <c r="J11" i="73"/>
  <c r="C13" i="73"/>
  <c r="E13" i="73" s="1"/>
  <c r="D27" i="73" s="1"/>
  <c r="E25" i="72"/>
  <c r="D27" i="72"/>
  <c r="I17" i="72"/>
  <c r="G27" i="72" s="1"/>
  <c r="J9" i="72"/>
  <c r="J11" i="72" s="1"/>
  <c r="E15" i="65"/>
  <c r="E21" i="65"/>
  <c r="C25" i="34"/>
  <c r="E25" i="34" s="1"/>
  <c r="J9" i="30"/>
  <c r="C25" i="32"/>
  <c r="E25" i="32" s="1"/>
  <c r="J9" i="35"/>
  <c r="J11" i="35" s="1"/>
  <c r="C13" i="67"/>
  <c r="E13" i="67" s="1"/>
  <c r="L64" i="30"/>
  <c r="L64" i="29"/>
  <c r="E25" i="3"/>
  <c r="D27" i="3" s="1"/>
  <c r="I17" i="3" s="1"/>
  <c r="G27" i="3" s="1"/>
  <c r="J11" i="3"/>
  <c r="J9" i="10"/>
  <c r="J11" i="10" s="1"/>
  <c r="C13" i="18"/>
  <c r="E13" i="18" s="1"/>
  <c r="D27" i="56"/>
  <c r="I17" i="56" s="1"/>
  <c r="G27" i="56" s="1"/>
  <c r="J9" i="25"/>
  <c r="J9" i="60"/>
  <c r="J11" i="60" s="1"/>
  <c r="J9" i="68"/>
  <c r="J11" i="68" s="1"/>
  <c r="J9" i="4"/>
  <c r="L64" i="38"/>
  <c r="L64" i="19"/>
  <c r="J9" i="29"/>
  <c r="J11" i="29" s="1"/>
  <c r="L64" i="16"/>
  <c r="J9" i="12"/>
  <c r="J11" i="12" s="1"/>
  <c r="D27" i="17"/>
  <c r="I17" i="17" s="1"/>
  <c r="G27" i="17" s="1"/>
  <c r="L64" i="33"/>
  <c r="J9" i="69"/>
  <c r="L64" i="23"/>
  <c r="C15" i="29"/>
  <c r="E15" i="29" s="1"/>
  <c r="D27" i="29" s="1"/>
  <c r="I17" i="29" s="1"/>
  <c r="G27" i="29" s="1"/>
  <c r="L64" i="41"/>
  <c r="L64" i="53"/>
  <c r="L64" i="61"/>
  <c r="L64" i="8"/>
  <c r="J9" i="7"/>
  <c r="J9" i="19"/>
  <c r="J11" i="19" s="1"/>
  <c r="J11" i="32"/>
  <c r="L64" i="32"/>
  <c r="J9" i="52"/>
  <c r="J9" i="53"/>
  <c r="L35" i="17"/>
  <c r="L36" i="17" s="1"/>
  <c r="L37" i="17" s="1"/>
  <c r="L38" i="17" s="1"/>
  <c r="L39" i="17" s="1"/>
  <c r="L40" i="17" s="1"/>
  <c r="L41" i="17" s="1"/>
  <c r="L42" i="17" s="1"/>
  <c r="L43" i="17" s="1"/>
  <c r="L44" i="17" s="1"/>
  <c r="L45" i="17" s="1"/>
  <c r="L46" i="17" s="1"/>
  <c r="L47" i="17" s="1"/>
  <c r="L48" i="17" s="1"/>
  <c r="L49" i="17" s="1"/>
  <c r="L50" i="17" s="1"/>
  <c r="L51" i="17" s="1"/>
  <c r="L52" i="17" s="1"/>
  <c r="L53" i="17" s="1"/>
  <c r="L54" i="17" s="1"/>
  <c r="L55" i="17" s="1"/>
  <c r="L56" i="17" s="1"/>
  <c r="L57" i="17" s="1"/>
  <c r="L58" i="17" s="1"/>
  <c r="L59" i="17" s="1"/>
  <c r="L60" i="17" s="1"/>
  <c r="L61" i="17" s="1"/>
  <c r="L62" i="17" s="1"/>
  <c r="L63" i="17" s="1"/>
  <c r="J9" i="23"/>
  <c r="J11" i="23" s="1"/>
  <c r="L64" i="34"/>
  <c r="L64" i="42"/>
  <c r="L64" i="56"/>
  <c r="L64" i="59"/>
  <c r="J9" i="22"/>
  <c r="J11" i="22" s="1"/>
  <c r="J9" i="54"/>
  <c r="J11" i="54" s="1"/>
  <c r="D27" i="58"/>
  <c r="I17" i="58" s="1"/>
  <c r="G27" i="58" s="1"/>
  <c r="L64" i="54"/>
  <c r="D27" i="50"/>
  <c r="I17" i="50" s="1"/>
  <c r="G27" i="50" s="1"/>
  <c r="E25" i="11"/>
  <c r="D27" i="11" s="1"/>
  <c r="G27" i="11" s="1"/>
  <c r="E13" i="34"/>
  <c r="D27" i="34" s="1"/>
  <c r="I17" i="34" s="1"/>
  <c r="G27" i="34" s="1"/>
  <c r="J11" i="34"/>
  <c r="K19" i="71"/>
  <c r="D27" i="38"/>
  <c r="I17" i="38" s="1"/>
  <c r="G27" i="38" s="1"/>
  <c r="J9" i="55"/>
  <c r="J11" i="55" s="1"/>
  <c r="L64" i="9"/>
  <c r="J11" i="47"/>
  <c r="J11" i="49"/>
  <c r="J11" i="51"/>
  <c r="D27" i="52"/>
  <c r="I17" i="52" s="1"/>
  <c r="G27" i="52" s="1"/>
  <c r="G64" i="71"/>
  <c r="L64" i="6"/>
  <c r="C15" i="12"/>
  <c r="E15" i="12" s="1"/>
  <c r="J9" i="16"/>
  <c r="J11" i="16"/>
  <c r="E25" i="1"/>
  <c r="D27" i="1" s="1"/>
  <c r="I17" i="1" s="1"/>
  <c r="G27" i="1" s="1"/>
  <c r="C13" i="4"/>
  <c r="E13" i="4" s="1"/>
  <c r="L64" i="7"/>
  <c r="J9" i="8"/>
  <c r="J11" i="8" s="1"/>
  <c r="L64" i="10"/>
  <c r="J9" i="11"/>
  <c r="J11" i="11" s="1"/>
  <c r="E25" i="16"/>
  <c r="D27" i="16" s="1"/>
  <c r="I17" i="16" s="1"/>
  <c r="G27" i="16" s="1"/>
  <c r="J9" i="37"/>
  <c r="J11" i="37" s="1"/>
  <c r="J9" i="39"/>
  <c r="L64" i="45"/>
  <c r="C15" i="54"/>
  <c r="E15" i="54" s="1"/>
  <c r="D27" i="54" s="1"/>
  <c r="I17" i="54" s="1"/>
  <c r="G27" i="54" s="1"/>
  <c r="L64" i="66"/>
  <c r="L64" i="71"/>
  <c r="L64" i="35"/>
  <c r="L64" i="40"/>
  <c r="D27" i="43"/>
  <c r="I17" i="43" s="1"/>
  <c r="G27" i="43" s="1"/>
  <c r="L64" i="50"/>
  <c r="J9" i="65"/>
  <c r="J9" i="1"/>
  <c r="J11" i="1" s="1"/>
  <c r="C13" i="10"/>
  <c r="E13" i="10" s="1"/>
  <c r="L64" i="12"/>
  <c r="J9" i="13"/>
  <c r="J11" i="13" s="1"/>
  <c r="L64" i="21"/>
  <c r="L64" i="27"/>
  <c r="L64" i="43"/>
  <c r="L64" i="62"/>
  <c r="L64" i="69"/>
  <c r="L64" i="26"/>
  <c r="L64" i="11"/>
  <c r="L64" i="13"/>
  <c r="J9" i="14"/>
  <c r="J11" i="14" s="1"/>
  <c r="J9" i="45"/>
  <c r="J11" i="45" s="1"/>
  <c r="L64" i="47"/>
  <c r="L64" i="51"/>
  <c r="L64" i="52"/>
  <c r="L64" i="67"/>
  <c r="C13" i="7"/>
  <c r="E13" i="7" s="1"/>
  <c r="J11" i="59"/>
  <c r="D27" i="59"/>
  <c r="I17" i="59" s="1"/>
  <c r="G27" i="59" s="1"/>
  <c r="L64" i="1"/>
  <c r="C13" i="2"/>
  <c r="E13" i="2" s="1"/>
  <c r="J9" i="5"/>
  <c r="J11" i="5" s="1"/>
  <c r="J9" i="17"/>
  <c r="J11" i="17" s="1"/>
  <c r="L64" i="18"/>
  <c r="L64" i="25"/>
  <c r="J9" i="34"/>
  <c r="J9" i="36"/>
  <c r="J11" i="36" s="1"/>
  <c r="J9" i="44"/>
  <c r="J11" i="44" s="1"/>
  <c r="L64" i="46"/>
  <c r="L64" i="4"/>
  <c r="L64" i="5"/>
  <c r="L64" i="15"/>
  <c r="J11" i="57"/>
  <c r="J11" i="2"/>
  <c r="E25" i="2"/>
  <c r="E25" i="10"/>
  <c r="D27" i="14"/>
  <c r="I17" i="14" s="1"/>
  <c r="G27" i="14" s="1"/>
  <c r="E25" i="15"/>
  <c r="D27" i="15" s="1"/>
  <c r="D27" i="30"/>
  <c r="I17" i="30" s="1"/>
  <c r="G27" i="30" s="1"/>
  <c r="E25" i="7"/>
  <c r="J11" i="7"/>
  <c r="E25" i="6"/>
  <c r="D27" i="6" s="1"/>
  <c r="I17" i="6" s="1"/>
  <c r="G27" i="6" s="1"/>
  <c r="D27" i="9"/>
  <c r="I17" i="9" s="1"/>
  <c r="G27" i="9" s="1"/>
  <c r="D27" i="42"/>
  <c r="I17" i="42" s="1"/>
  <c r="G27" i="42" s="1"/>
  <c r="E25" i="19"/>
  <c r="E25" i="26"/>
  <c r="E25" i="13"/>
  <c r="D27" i="13" s="1"/>
  <c r="I17" i="13" s="1"/>
  <c r="G27" i="13" s="1"/>
  <c r="D27" i="32"/>
  <c r="I17" i="32" s="1"/>
  <c r="G27" i="32" s="1"/>
  <c r="J11" i="4"/>
  <c r="E25" i="4"/>
  <c r="E25" i="5"/>
  <c r="D27" i="5" s="1"/>
  <c r="I17" i="5" s="1"/>
  <c r="J11" i="18"/>
  <c r="E25" i="18"/>
  <c r="J11" i="25"/>
  <c r="E25" i="25"/>
  <c r="D27" i="25" s="1"/>
  <c r="I17" i="25" s="1"/>
  <c r="G27" i="25" s="1"/>
  <c r="D27" i="12"/>
  <c r="I17" i="12" s="1"/>
  <c r="D27" i="21"/>
  <c r="I17" i="21" s="1"/>
  <c r="G27" i="21" s="1"/>
  <c r="D27" i="23"/>
  <c r="I17" i="23" s="1"/>
  <c r="G27" i="23" s="1"/>
  <c r="J9" i="15"/>
  <c r="J11" i="15" s="1"/>
  <c r="C15" i="31"/>
  <c r="E15" i="31" s="1"/>
  <c r="D27" i="31" s="1"/>
  <c r="I17" i="31" s="1"/>
  <c r="G27" i="31" s="1"/>
  <c r="J9" i="31"/>
  <c r="J11" i="31" s="1"/>
  <c r="E25" i="39"/>
  <c r="D27" i="39" s="1"/>
  <c r="I17" i="39" s="1"/>
  <c r="G27" i="39" s="1"/>
  <c r="J11" i="39"/>
  <c r="J9" i="6"/>
  <c r="J11" i="6" s="1"/>
  <c r="C13" i="19"/>
  <c r="E13" i="19" s="1"/>
  <c r="E25" i="22"/>
  <c r="D27" i="22" s="1"/>
  <c r="I17" i="22" s="1"/>
  <c r="G27" i="22" s="1"/>
  <c r="J9" i="26"/>
  <c r="J11" i="26" s="1"/>
  <c r="E25" i="27"/>
  <c r="L64" i="31"/>
  <c r="J9" i="9"/>
  <c r="J11" i="9" s="1"/>
  <c r="J9" i="21"/>
  <c r="D27" i="36"/>
  <c r="I17" i="36" s="1"/>
  <c r="G27" i="36" s="1"/>
  <c r="L64" i="39"/>
  <c r="J9" i="40"/>
  <c r="J11" i="40" s="1"/>
  <c r="D27" i="45"/>
  <c r="I17" i="45" s="1"/>
  <c r="G27" i="45" s="1"/>
  <c r="D27" i="48"/>
  <c r="I17" i="48" s="1"/>
  <c r="G27" i="48" s="1"/>
  <c r="E25" i="53"/>
  <c r="D27" i="53" s="1"/>
  <c r="I17" i="53" s="1"/>
  <c r="G27" i="53" s="1"/>
  <c r="J11" i="53"/>
  <c r="L64" i="22"/>
  <c r="J9" i="27"/>
  <c r="J11" i="27" s="1"/>
  <c r="E25" i="35"/>
  <c r="D27" i="35" s="1"/>
  <c r="I17" i="35" s="1"/>
  <c r="G27" i="35" s="1"/>
  <c r="J11" i="33"/>
  <c r="D27" i="40"/>
  <c r="I17" i="40" s="1"/>
  <c r="G27" i="40" s="1"/>
  <c r="D27" i="27"/>
  <c r="I17" i="27" s="1"/>
  <c r="G27" i="27" s="1"/>
  <c r="J11" i="30"/>
  <c r="E25" i="33"/>
  <c r="D27" i="33" s="1"/>
  <c r="I17" i="33" s="1"/>
  <c r="G27" i="33" s="1"/>
  <c r="L64" i="36"/>
  <c r="J9" i="38"/>
  <c r="J11" i="38" s="1"/>
  <c r="L64" i="44"/>
  <c r="E25" i="55"/>
  <c r="D27" i="55" s="1"/>
  <c r="I17" i="55" s="1"/>
  <c r="G27" i="55" s="1"/>
  <c r="E25" i="8"/>
  <c r="D27" i="8" s="1"/>
  <c r="I17" i="8" s="1"/>
  <c r="K64" i="17"/>
  <c r="J11" i="21"/>
  <c r="C13" i="26"/>
  <c r="E13" i="26" s="1"/>
  <c r="L64" i="37"/>
  <c r="E25" i="44"/>
  <c r="D27" i="44" s="1"/>
  <c r="I17" i="44" s="1"/>
  <c r="G27" i="44" s="1"/>
  <c r="D27" i="47"/>
  <c r="I17" i="47" s="1"/>
  <c r="G27" i="47" s="1"/>
  <c r="C25" i="41"/>
  <c r="C13" i="51"/>
  <c r="E13" i="51" s="1"/>
  <c r="D27" i="51" s="1"/>
  <c r="I17" i="51" s="1"/>
  <c r="G27" i="51" s="1"/>
  <c r="L64" i="60"/>
  <c r="L64" i="65"/>
  <c r="J9" i="66"/>
  <c r="J11" i="66" s="1"/>
  <c r="C13" i="66"/>
  <c r="E13" i="66" s="1"/>
  <c r="D27" i="66" s="1"/>
  <c r="I17" i="66" s="1"/>
  <c r="G27" i="66" s="1"/>
  <c r="E19" i="71"/>
  <c r="G27" i="71" s="1"/>
  <c r="D27" i="46"/>
  <c r="I17" i="46" s="1"/>
  <c r="G27" i="46" s="1"/>
  <c r="J11" i="56"/>
  <c r="J11" i="46"/>
  <c r="E25" i="49"/>
  <c r="D27" i="49" s="1"/>
  <c r="I17" i="49" s="1"/>
  <c r="G27" i="49" s="1"/>
  <c r="J9" i="50"/>
  <c r="L64" i="58"/>
  <c r="D27" i="62"/>
  <c r="I17" i="62" s="1"/>
  <c r="G27" i="62" s="1"/>
  <c r="E64" i="58"/>
  <c r="J11" i="67"/>
  <c r="E25" i="67"/>
  <c r="D27" i="67" s="1"/>
  <c r="I17" i="67" s="1"/>
  <c r="G27" i="67" s="1"/>
  <c r="J11" i="69"/>
  <c r="E25" i="69"/>
  <c r="L64" i="48"/>
  <c r="L64" i="49"/>
  <c r="J9" i="43"/>
  <c r="J11" i="43" s="1"/>
  <c r="D27" i="68"/>
  <c r="I17" i="68" s="1"/>
  <c r="G27" i="68" s="1"/>
  <c r="L64" i="68"/>
  <c r="J11" i="50"/>
  <c r="L64" i="55"/>
  <c r="E25" i="57"/>
  <c r="D27" i="57" s="1"/>
  <c r="I17" i="57" s="1"/>
  <c r="G27" i="57" s="1"/>
  <c r="D27" i="60"/>
  <c r="I17" i="60" s="1"/>
  <c r="G27" i="60" s="1"/>
  <c r="J9" i="61"/>
  <c r="J11" i="61" s="1"/>
  <c r="C13" i="61"/>
  <c r="E13" i="61" s="1"/>
  <c r="D27" i="61" s="1"/>
  <c r="I17" i="61" s="1"/>
  <c r="G27" i="61" s="1"/>
  <c r="C15" i="69"/>
  <c r="E15" i="69" s="1"/>
  <c r="J9" i="62"/>
  <c r="J11" i="62" s="1"/>
  <c r="D27" i="18" l="1"/>
  <c r="I17" i="18" s="1"/>
  <c r="G27" i="18" s="1"/>
  <c r="D27" i="65"/>
  <c r="I17" i="65" s="1"/>
  <c r="G27" i="65" s="1"/>
  <c r="D27" i="74"/>
  <c r="I17" i="75"/>
  <c r="G27" i="75" s="1"/>
  <c r="I17" i="74"/>
  <c r="G27" i="74" s="1"/>
  <c r="I17" i="73"/>
  <c r="G27" i="73" s="1"/>
  <c r="D27" i="4"/>
  <c r="I17" i="4" s="1"/>
  <c r="G27" i="4" s="1"/>
  <c r="D27" i="7"/>
  <c r="I17" i="7" s="1"/>
  <c r="I21" i="7" s="1"/>
  <c r="G27" i="7" s="1"/>
  <c r="I17" i="2"/>
  <c r="G27" i="2" s="1"/>
  <c r="D27" i="2"/>
  <c r="D27" i="69"/>
  <c r="I17" i="69" s="1"/>
  <c r="G27" i="69" s="1"/>
  <c r="D27" i="26"/>
  <c r="I17" i="26" s="1"/>
  <c r="G27" i="26" s="1"/>
  <c r="I17" i="15"/>
  <c r="G27" i="15" s="1"/>
  <c r="D27" i="10"/>
  <c r="I17" i="10" s="1"/>
  <c r="G27" i="10" s="1"/>
  <c r="D27" i="19"/>
  <c r="I17" i="19" s="1"/>
  <c r="G27" i="19" s="1"/>
  <c r="G27" i="5"/>
  <c r="I21" i="8"/>
  <c r="G27" i="8" s="1"/>
  <c r="E25" i="41"/>
  <c r="D27" i="41" s="1"/>
  <c r="I17" i="41" s="1"/>
  <c r="G27" i="41" s="1"/>
  <c r="J11" i="41"/>
  <c r="I21" i="12"/>
  <c r="G27" i="12" s="1"/>
  <c r="L64" i="2"/>
  <c r="D27" i="37"/>
  <c r="I17" i="37" s="1"/>
  <c r="G27" i="37" s="1"/>
</calcChain>
</file>

<file path=xl/sharedStrings.xml><?xml version="1.0" encoding="utf-8"?>
<sst xmlns="http://schemas.openxmlformats.org/spreadsheetml/2006/main" count="2697" uniqueCount="231">
  <si>
    <t>일수금되므로 통장입금날짜 잘 확인</t>
  </si>
  <si>
    <t xml:space="preserve">도레미 </t>
  </si>
  <si>
    <t>납품내역및청구서</t>
  </si>
  <si>
    <t xml:space="preserve"> (FAX) (문자) (우편)</t>
  </si>
  <si>
    <t>콩나물품목</t>
  </si>
  <si>
    <t>수량</t>
  </si>
  <si>
    <t>단가</t>
  </si>
  <si>
    <t>금액</t>
  </si>
  <si>
    <t>제공된 시루통</t>
  </si>
  <si>
    <t>두절kg</t>
  </si>
  <si>
    <t>로스 회수통</t>
  </si>
  <si>
    <t>일반콩나물</t>
  </si>
  <si>
    <t>곱슬콩나물</t>
  </si>
  <si>
    <t>3.5kg일반</t>
  </si>
  <si>
    <t>이달 합계금</t>
  </si>
  <si>
    <t>3.5kg곱슬</t>
  </si>
  <si>
    <t>미수잔액</t>
  </si>
  <si>
    <t>숙주</t>
  </si>
  <si>
    <t>기타금액</t>
  </si>
  <si>
    <t>회수통현황</t>
  </si>
  <si>
    <t>최종청구금액</t>
  </si>
  <si>
    <t>회수통금액을 차감한</t>
  </si>
  <si>
    <t>이달   합계금</t>
  </si>
  <si>
    <t>날짜</t>
  </si>
  <si>
    <t>일반</t>
  </si>
  <si>
    <t>회수통</t>
  </si>
  <si>
    <t>합계</t>
  </si>
  <si>
    <t xml:space="preserve">입금계좌: 농협(송천콩나물 박권하)  010   7935  0033  09         </t>
  </si>
  <si>
    <t>입금주명</t>
  </si>
  <si>
    <t>박병국</t>
  </si>
  <si>
    <t>담당자</t>
  </si>
  <si>
    <t>fax보내기,매일 금액 맞는지 확인 꼭 하기</t>
  </si>
  <si>
    <t>지엠식자재마트(지산DC)</t>
  </si>
  <si>
    <t xml:space="preserve"> FAX:054-458-1122</t>
  </si>
  <si>
    <t>일반(소)콩나물</t>
  </si>
  <si>
    <t>임주형(지엠식자재마트)</t>
  </si>
  <si>
    <t>26.1/2 첫 거래     우편</t>
  </si>
  <si>
    <t>HS식자재도매유통구미점</t>
  </si>
  <si>
    <t xml:space="preserve"> (FAX) </t>
  </si>
  <si>
    <t>두절1kg</t>
  </si>
  <si>
    <t xml:space="preserve"> 미수잔액</t>
  </si>
  <si>
    <t>행사금액</t>
  </si>
  <si>
    <t>대표자최재민</t>
  </si>
  <si>
    <t>26.2/9</t>
  </si>
  <si>
    <t>ERP 직접확인-납품금액확인-기간납품내영 (매월2일안에 확인할것)</t>
  </si>
  <si>
    <t xml:space="preserve">형곡우리마트  </t>
  </si>
  <si>
    <t xml:space="preserve"> (FAX)  본점팩스:055-374-7014</t>
  </si>
  <si>
    <t>우리홀푸드마트</t>
  </si>
  <si>
    <t>우편</t>
  </si>
  <si>
    <t xml:space="preserve"> (FAX)</t>
  </si>
  <si>
    <t>이인수</t>
  </si>
  <si>
    <t>비산킹마트</t>
  </si>
  <si>
    <t>임근호(킹마트비산)</t>
  </si>
  <si>
    <t xml:space="preserve">광천킹마트  </t>
  </si>
  <si>
    <t>fax보내기 유영태</t>
  </si>
  <si>
    <t xml:space="preserve">팜식자재마트 </t>
  </si>
  <si>
    <t xml:space="preserve"> (FAX) 054-461-6119</t>
  </si>
  <si>
    <t>유영태(팜식자재마트)</t>
  </si>
  <si>
    <t>fax보내기</t>
  </si>
  <si>
    <t xml:space="preserve">구포ss마트 </t>
  </si>
  <si>
    <t xml:space="preserve"> (FAX)054-471-9009</t>
  </si>
  <si>
    <t>김동극</t>
  </si>
  <si>
    <t xml:space="preserve">송정ss마트 </t>
  </si>
  <si>
    <t xml:space="preserve"> (FAX) 054-452-8188</t>
  </si>
  <si>
    <t>주식회사에스에스마트</t>
  </si>
  <si>
    <t xml:space="preserve">VIP마트 </t>
  </si>
  <si>
    <t>010-6646-3136</t>
  </si>
  <si>
    <t>브이아피식자재(새마을금고)</t>
  </si>
  <si>
    <t>fax보내기,입력오류가 가장 많음, 20일 넘어서 입금됨 경리:010-9058-7749</t>
  </si>
  <si>
    <t>내고향식자재마트</t>
  </si>
  <si>
    <t xml:space="preserve"> (FAX)054-452-8989</t>
  </si>
  <si>
    <t>내고향식자재</t>
  </si>
  <si>
    <t xml:space="preserve">문성팜식자재마트 </t>
  </si>
  <si>
    <t>(우편)</t>
  </si>
  <si>
    <t>첨부자료 참고</t>
  </si>
  <si>
    <t>김창수(팜마트)</t>
  </si>
  <si>
    <t>참마트</t>
  </si>
  <si>
    <t>심규철</t>
  </si>
  <si>
    <t>계산서미발행중이며 월2회 알아서 입금됨</t>
  </si>
  <si>
    <t xml:space="preserve">왕산마트 </t>
  </si>
  <si>
    <t>입금액</t>
  </si>
  <si>
    <t>손병선</t>
  </si>
  <si>
    <t>우편,문자동시</t>
  </si>
  <si>
    <t>형곡드림마트</t>
  </si>
  <si>
    <t xml:space="preserve"> (우편)</t>
  </si>
  <si>
    <t>형곡드림마트(박인정)</t>
  </si>
  <si>
    <t>26.2/28</t>
  </si>
  <si>
    <t>매월 25~30일경 그달 것이 입금되며 그 이후의 것은 이월계산됨</t>
  </si>
  <si>
    <t>매달말일 자동입금됨</t>
  </si>
  <si>
    <t>정창수(드림마트문성)</t>
  </si>
  <si>
    <t>fax보내기와 우편 동시에--&gt;청구서 빨리 안주면 전화옴</t>
  </si>
  <si>
    <t xml:space="preserve">임은DC마트 </t>
  </si>
  <si>
    <t xml:space="preserve"> (FAX)FAX:054-465-7172 (우편)</t>
  </si>
  <si>
    <t>김순임</t>
  </si>
  <si>
    <t xml:space="preserve">형곡DC마트 </t>
  </si>
  <si>
    <t>윤종율</t>
  </si>
  <si>
    <t xml:space="preserve">북삼우리푸드   </t>
  </si>
  <si>
    <t>우리푸드</t>
  </si>
  <si>
    <t xml:space="preserve">아름식품 </t>
  </si>
  <si>
    <t>일반소콩나물</t>
  </si>
  <si>
    <t>장명곤</t>
  </si>
  <si>
    <t>고놈의불향쭈꾸미</t>
  </si>
  <si>
    <t>김완재</t>
  </si>
  <si>
    <t>우편,문자 동시에</t>
  </si>
  <si>
    <t>올레길</t>
  </si>
  <si>
    <t xml:space="preserve"> (문자) (우편)</t>
  </si>
  <si>
    <t>미수</t>
  </si>
  <si>
    <t>신경숙</t>
  </si>
  <si>
    <t>우편, 문자 동시에</t>
  </si>
  <si>
    <t xml:space="preserve">  (우편)</t>
  </si>
  <si>
    <t>김경열</t>
  </si>
  <si>
    <t>문자</t>
  </si>
  <si>
    <t>남통대구왕뽈찜</t>
  </si>
  <si>
    <t>윤원철</t>
  </si>
  <si>
    <t xml:space="preserve">깜상알밥국시 </t>
  </si>
  <si>
    <t xml:space="preserve">(문자) </t>
  </si>
  <si>
    <t>이순희</t>
  </si>
  <si>
    <t>임중실</t>
  </si>
  <si>
    <t>원골</t>
  </si>
  <si>
    <t>김종숙</t>
  </si>
  <si>
    <t>불구이돈</t>
  </si>
  <si>
    <t>이지영</t>
  </si>
  <si>
    <t>형곡종가숯불갈비</t>
  </si>
  <si>
    <t>김수자</t>
  </si>
  <si>
    <t>상모뒷고기</t>
  </si>
  <si>
    <t>박영선</t>
  </si>
  <si>
    <t>상모용두동쭈꾸미</t>
  </si>
  <si>
    <t>손문희-문자</t>
  </si>
  <si>
    <t>손문희</t>
  </si>
  <si>
    <t>형곡용두동쭈꾸미</t>
  </si>
  <si>
    <t>손문자-문자</t>
  </si>
  <si>
    <t>손문자</t>
  </si>
  <si>
    <t>이가네족발</t>
  </si>
  <si>
    <t>손영세(이가네족발)</t>
  </si>
  <si>
    <t>알아서 입금되나 말일주문시 입금방식이 특이함-금액 잘 맞춰보기</t>
  </si>
  <si>
    <t>뜨끈이</t>
  </si>
  <si>
    <t xml:space="preserve"> (문자) </t>
  </si>
  <si>
    <t>류시환</t>
  </si>
  <si>
    <t>황태덕장</t>
  </si>
  <si>
    <t>김미란</t>
  </si>
  <si>
    <t>양평</t>
  </si>
  <si>
    <t>원조가오리</t>
  </si>
  <si>
    <t xml:space="preserve">  (문자)</t>
  </si>
  <si>
    <t>노병석</t>
  </si>
  <si>
    <t>신촌</t>
  </si>
  <si>
    <t>비워서</t>
  </si>
  <si>
    <t>정은숙(신촌식당)</t>
  </si>
  <si>
    <t>직접수금</t>
  </si>
  <si>
    <t xml:space="preserve">원웰빙마트 </t>
  </si>
  <si>
    <t xml:space="preserve">아포킹마트 </t>
  </si>
  <si>
    <t xml:space="preserve"> 미수금</t>
  </si>
  <si>
    <t>미수확인</t>
  </si>
  <si>
    <t>아포킹마트</t>
  </si>
  <si>
    <t xml:space="preserve">아포팜 </t>
  </si>
  <si>
    <t>미수금</t>
  </si>
  <si>
    <t>장은경</t>
  </si>
  <si>
    <t>행사</t>
  </si>
  <si>
    <t>지성이 해물찜</t>
  </si>
  <si>
    <t>김천대구왕뽈찜</t>
  </si>
  <si>
    <t>이승용</t>
  </si>
  <si>
    <t>신음대구왕뽈찜</t>
  </si>
  <si>
    <t>(우편)+문자</t>
  </si>
  <si>
    <t>신음대구왕뽈찜신음점</t>
  </si>
  <si>
    <t>김창연</t>
  </si>
  <si>
    <t>동해수산횟집</t>
  </si>
  <si>
    <t>배수옥(동해수산횟집)</t>
  </si>
  <si>
    <t>알아서 들어옴,담당자 010-9366-7797 -금액안맞으면 통화시 잘 맞춰줌,가끔 거래장누락으로 금액 안맞음</t>
  </si>
  <si>
    <t xml:space="preserve">김천DC마트  </t>
  </si>
  <si>
    <t>이창래</t>
  </si>
  <si>
    <t>우편-미입금시 청구서 2번정도 발행해야함</t>
  </si>
  <si>
    <t>김천와촌</t>
  </si>
  <si>
    <t>정선진</t>
  </si>
  <si>
    <t>문자-빨리 보내줘야함(수량기재하기)</t>
  </si>
  <si>
    <t>뻘떡낙지</t>
  </si>
  <si>
    <t>수영</t>
  </si>
  <si>
    <t>김종란</t>
  </si>
  <si>
    <t>일 수금됨</t>
  </si>
  <si>
    <t>오거리</t>
  </si>
  <si>
    <t>그달의 말일이나 월초1일에 알아서 입금됨, 코팅지와 거의 안맞음(입금이 더 들어옴)</t>
  </si>
  <si>
    <t>합동식품</t>
  </si>
  <si>
    <t>이부희  정원영</t>
  </si>
  <si>
    <t>축협하나로3월부터13000원 파머스3월부터12000원인상 - 청구서 없이 알아서입금</t>
  </si>
  <si>
    <t>축협하나로3월부터13000원 파머스3월부터12000원인상</t>
  </si>
  <si>
    <t>축협하나로마트</t>
  </si>
  <si>
    <t>하나로경리   054-442-1511</t>
  </si>
  <si>
    <t>하나로,농협은 계산서 빨리 발행해야 수정이 가능</t>
  </si>
  <si>
    <t xml:space="preserve">아포농협 </t>
  </si>
  <si>
    <t>손두부</t>
  </si>
  <si>
    <t>아포농협담당자(하경순점장) 010-8575-9388</t>
  </si>
  <si>
    <t>로타리</t>
  </si>
  <si>
    <t>로터리</t>
  </si>
  <si>
    <t>아포상회</t>
  </si>
  <si>
    <t>팔도콩나물국밥</t>
  </si>
  <si>
    <t>우편, 문자 동시에 입금 잘 안됨 전화해야함</t>
  </si>
  <si>
    <t>양지</t>
  </si>
  <si>
    <t>다혜원</t>
  </si>
  <si>
    <t>원호노점</t>
  </si>
  <si>
    <t>아포아구찜</t>
  </si>
  <si>
    <t xml:space="preserve">선산식자재마트 </t>
  </si>
  <si>
    <t xml:space="preserve"> (FAX)054-482-8228</t>
  </si>
  <si>
    <t>25년도 계산 완료됨. 26년도 모아서 12월에 그해에 계산서 받고 입금해주기-계산서 잘 발행안되므로</t>
  </si>
  <si>
    <t>팔공식품</t>
  </si>
  <si>
    <t xml:space="preserve"> (문자)</t>
  </si>
  <si>
    <t>두부품목</t>
  </si>
  <si>
    <t>두부판</t>
  </si>
  <si>
    <t>콩나물합계</t>
  </si>
  <si>
    <t>두부합계</t>
  </si>
  <si>
    <t>송천에서팔공으로</t>
  </si>
  <si>
    <t>입금해야할 금액</t>
  </si>
  <si>
    <t>송천콩나물</t>
  </si>
  <si>
    <t>일소</t>
  </si>
  <si>
    <t>상모오호오쭈꾸미</t>
    <phoneticPr fontId="1" type="noConversion"/>
  </si>
  <si>
    <t>소립</t>
    <phoneticPr fontId="1" type="noConversion"/>
  </si>
  <si>
    <t>2026년 8월</t>
    <phoneticPr fontId="1" type="noConversion"/>
  </si>
  <si>
    <t>(FAX)</t>
    <phoneticPr fontId="1" type="noConversion"/>
  </si>
  <si>
    <t>비산DC마트</t>
    <phoneticPr fontId="1" type="noConversion"/>
  </si>
  <si>
    <t>미수금(25년6월부터)</t>
    <phoneticPr fontId="1" type="noConversion"/>
  </si>
  <si>
    <t>문성드림마트</t>
    <phoneticPr fontId="1" type="noConversion"/>
  </si>
  <si>
    <t xml:space="preserve">다온약선톳밥 </t>
    <phoneticPr fontId="1" type="noConversion"/>
  </si>
  <si>
    <t>일반콩나물</t>
    <phoneticPr fontId="1" type="noConversion"/>
  </si>
  <si>
    <t>하나로(파머스 마켓)</t>
    <phoneticPr fontId="1" type="noConversion"/>
  </si>
  <si>
    <t>옥계빅</t>
    <phoneticPr fontId="1" type="noConversion"/>
  </si>
  <si>
    <t>더킹마트</t>
    <phoneticPr fontId="1" type="noConversion"/>
  </si>
  <si>
    <t>상모빅</t>
    <phoneticPr fontId="1" type="noConversion"/>
  </si>
  <si>
    <t>플래쉬</t>
    <phoneticPr fontId="1" type="noConversion"/>
  </si>
  <si>
    <t>고향가마솥</t>
    <phoneticPr fontId="1" type="noConversion"/>
  </si>
  <si>
    <t>명희네</t>
    <phoneticPr fontId="1" type="noConversion"/>
  </si>
  <si>
    <t>최종청구금액</t>
    <phoneticPr fontId="1" type="noConversion"/>
  </si>
  <si>
    <t>배의찬/빅옥계(농협)/비에이치씨유통</t>
    <phoneticPr fontId="1" type="noConversion"/>
  </si>
  <si>
    <t>경리 010-8005-3565</t>
    <phoneticPr fontId="1" type="noConversion"/>
  </si>
  <si>
    <t>JK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</si>
</sst>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0.0_);[Red]\(0.0\)"/>
    <numFmt numFmtId="177" formatCode="#,##0_ ;[Red]\-#,##0\ "/>
    <numFmt numFmtId="178" formatCode="mm&quot;월&quot;\ dd&quot;일&quot;"/>
    <numFmt numFmtId="179" formatCode="#,##0_);[Red]\(#,##0\)"/>
    <numFmt numFmtId="180" formatCode="#,##0_);\(#,##0\)"/>
    <numFmt numFmtId="181" formatCode="#,##0.0_);[Red]\(#,##0.0\)"/>
    <numFmt numFmtId="182" formatCode="0_ "/>
    <numFmt numFmtId="183" formatCode="yy&quot;-&quot;m&quot;-&quot;d;@"/>
    <numFmt numFmtId="184" formatCode="#,##0_ "/>
    <numFmt numFmtId="185" formatCode="yy&quot;/&quot;m&quot;/&quot;d;@"/>
  </numFmts>
  <fonts count="2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나눔스퀘어 네오 Regular"/>
      <family val="3"/>
      <charset val="129"/>
    </font>
    <font>
      <sz val="24"/>
      <color rgb="FF000000"/>
      <name val="나눔스퀘어 네오 Regular"/>
      <family val="3"/>
      <charset val="129"/>
    </font>
    <font>
      <sz val="24"/>
      <color theme="1"/>
      <name val="나눔스퀘어 네오 Regular"/>
      <family val="3"/>
      <charset val="129"/>
    </font>
    <font>
      <sz val="14"/>
      <color rgb="FF000000"/>
      <name val="나눔스퀘어 네오 Regular"/>
      <family val="3"/>
      <charset val="129"/>
    </font>
    <font>
      <sz val="13"/>
      <color rgb="FF000000"/>
      <name val="나눔스퀘어 네오 Regular"/>
      <family val="3"/>
      <charset val="129"/>
    </font>
    <font>
      <sz val="13"/>
      <color theme="1"/>
      <name val="나눔스퀘어 네오 Regular"/>
      <family val="3"/>
      <charset val="129"/>
    </font>
    <font>
      <sz val="14"/>
      <color theme="1"/>
      <name val="나눔스퀘어 네오 Regular"/>
      <family val="3"/>
      <charset val="129"/>
    </font>
    <font>
      <sz val="22"/>
      <color rgb="FF000000"/>
      <name val="나눔스퀘어 네오 Regular"/>
      <family val="3"/>
      <charset val="129"/>
    </font>
    <font>
      <sz val="22"/>
      <color theme="1"/>
      <name val="나눔스퀘어 네오 Regular"/>
      <family val="3"/>
      <charset val="129"/>
    </font>
    <font>
      <sz val="11"/>
      <color rgb="FF000000"/>
      <name val="나눔스퀘어 네오 Regular"/>
      <family val="3"/>
      <charset val="129"/>
    </font>
    <font>
      <sz val="10"/>
      <color theme="1"/>
      <name val="나눔스퀘어 네오 Regular"/>
      <family val="3"/>
      <charset val="129"/>
    </font>
    <font>
      <sz val="7"/>
      <color theme="1"/>
      <name val="나눔스퀘어 네오 Regular"/>
      <family val="3"/>
      <charset val="129"/>
    </font>
    <font>
      <sz val="8"/>
      <color theme="1"/>
      <name val="나눔스퀘어 네오 Regular"/>
      <family val="3"/>
      <charset val="129"/>
    </font>
    <font>
      <sz val="18"/>
      <color theme="1"/>
      <name val="나눔스퀘어 네오 Regular"/>
      <family val="3"/>
      <charset val="129"/>
    </font>
    <font>
      <sz val="16"/>
      <color theme="1"/>
      <name val="나눔스퀘어 네오 Regular"/>
      <family val="3"/>
      <charset val="129"/>
    </font>
    <font>
      <sz val="14"/>
      <color rgb="FFFF0000"/>
      <name val="나눔스퀘어 네오 Regular"/>
      <family val="3"/>
      <charset val="129"/>
    </font>
    <font>
      <sz val="12"/>
      <color theme="1"/>
      <name val="나눔스퀘어 네오 Regular"/>
      <family val="3"/>
      <charset val="129"/>
    </font>
    <font>
      <sz val="6"/>
      <color theme="1"/>
      <name val="나눔스퀘어 네오 Regular"/>
      <family val="3"/>
      <charset val="129"/>
    </font>
    <font>
      <b/>
      <sz val="16"/>
      <color theme="1"/>
      <name val="나눔스퀘어 네오 Regular"/>
      <family val="3"/>
      <charset val="129"/>
    </font>
    <font>
      <sz val="9"/>
      <color theme="1"/>
      <name val="나눔스퀘어 네오 Regular"/>
      <family val="3"/>
      <charset val="129"/>
    </font>
    <font>
      <sz val="8"/>
      <color rgb="FF000000"/>
      <name val="나눔스퀘어 네오 Regular"/>
      <family val="3"/>
      <charset val="129"/>
    </font>
    <font>
      <sz val="10"/>
      <color rgb="FF000000"/>
      <name val="나눔스퀘어 네오 Regular"/>
      <family val="3"/>
      <charset val="129"/>
    </font>
    <font>
      <sz val="9"/>
      <color rgb="FF000000"/>
      <name val="나눔스퀘어 네오 Regular"/>
      <family val="3"/>
      <charset val="129"/>
    </font>
  </fonts>
  <fills count="31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8DB4E2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E26B0A"/>
        <bgColor rgb="FF000000"/>
      </patternFill>
    </fill>
    <fill>
      <patternFill patternType="solid">
        <fgColor rgb="FF31869B"/>
        <bgColor rgb="FF000000"/>
      </patternFill>
    </fill>
    <fill>
      <patternFill patternType="solid">
        <fgColor rgb="FFB1A0C7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789D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176" fontId="11" fillId="4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2" fillId="0" borderId="1" xfId="0" applyFont="1" applyBorder="1"/>
    <xf numFmtId="177" fontId="11" fillId="5" borderId="1" xfId="0" applyNumberFormat="1" applyFont="1" applyFill="1" applyBorder="1" applyAlignment="1">
      <alignment horizontal="center" vertical="center"/>
    </xf>
    <xf numFmtId="177" fontId="11" fillId="6" borderId="1" xfId="0" applyNumberFormat="1" applyFont="1" applyFill="1" applyBorder="1" applyAlignment="1">
      <alignment horizontal="center" vertical="center"/>
    </xf>
    <xf numFmtId="177" fontId="11" fillId="7" borderId="1" xfId="0" applyNumberFormat="1" applyFont="1" applyFill="1" applyBorder="1" applyAlignment="1">
      <alignment horizontal="center" vertical="center"/>
    </xf>
    <xf numFmtId="177" fontId="11" fillId="8" borderId="1" xfId="0" applyNumberFormat="1" applyFont="1" applyFill="1" applyBorder="1" applyAlignment="1">
      <alignment horizontal="center" vertical="center"/>
    </xf>
    <xf numFmtId="177" fontId="11" fillId="9" borderId="1" xfId="0" applyNumberFormat="1" applyFont="1" applyFill="1" applyBorder="1" applyAlignment="1">
      <alignment horizontal="center" vertical="center"/>
    </xf>
    <xf numFmtId="177" fontId="11" fillId="10" borderId="1" xfId="0" applyNumberFormat="1" applyFont="1" applyFill="1" applyBorder="1" applyAlignment="1">
      <alignment horizontal="center" vertical="center"/>
    </xf>
    <xf numFmtId="177" fontId="11" fillId="0" borderId="1" xfId="0" applyNumberFormat="1" applyFont="1" applyBorder="1" applyAlignment="1">
      <alignment vertical="center"/>
    </xf>
    <xf numFmtId="177" fontId="11" fillId="0" borderId="1" xfId="0" applyNumberFormat="1" applyFont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184" fontId="13" fillId="0" borderId="1" xfId="0" applyNumberFormat="1" applyFont="1" applyBorder="1" applyAlignment="1">
      <alignment vertical="center"/>
    </xf>
    <xf numFmtId="184" fontId="14" fillId="0" borderId="1" xfId="0" applyNumberFormat="1" applyFont="1" applyBorder="1" applyAlignment="1">
      <alignment vertical="center"/>
    </xf>
    <xf numFmtId="183" fontId="14" fillId="0" borderId="1" xfId="0" applyNumberFormat="1" applyFont="1" applyBorder="1" applyAlignment="1">
      <alignment vertical="center"/>
    </xf>
    <xf numFmtId="0" fontId="2" fillId="13" borderId="3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24" borderId="31" xfId="0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 vertical="center"/>
    </xf>
    <xf numFmtId="177" fontId="2" fillId="13" borderId="31" xfId="0" applyNumberFormat="1" applyFont="1" applyFill="1" applyBorder="1" applyAlignment="1">
      <alignment horizontal="center" vertical="center"/>
    </xf>
    <xf numFmtId="177" fontId="2" fillId="14" borderId="1" xfId="0" applyNumberFormat="1" applyFont="1" applyFill="1" applyBorder="1" applyAlignment="1">
      <alignment horizontal="center" vertical="center"/>
    </xf>
    <xf numFmtId="177" fontId="2" fillId="15" borderId="1" xfId="0" applyNumberFormat="1" applyFont="1" applyFill="1" applyBorder="1" applyAlignment="1">
      <alignment horizontal="center" vertical="center"/>
    </xf>
    <xf numFmtId="177" fontId="2" fillId="21" borderId="1" xfId="0" applyNumberFormat="1" applyFont="1" applyFill="1" applyBorder="1" applyAlignment="1">
      <alignment horizontal="center" vertical="center"/>
    </xf>
    <xf numFmtId="177" fontId="2" fillId="0" borderId="32" xfId="0" applyNumberFormat="1" applyFont="1" applyBorder="1" applyAlignment="1">
      <alignment horizontal="center" vertical="center"/>
    </xf>
    <xf numFmtId="177" fontId="2" fillId="24" borderId="31" xfId="0" applyNumberFormat="1" applyFont="1" applyFill="1" applyBorder="1" applyAlignment="1">
      <alignment horizontal="center" vertical="center"/>
    </xf>
    <xf numFmtId="177" fontId="2" fillId="25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vertical="center"/>
    </xf>
    <xf numFmtId="0" fontId="2" fillId="13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177" fontId="2" fillId="13" borderId="1" xfId="0" applyNumberFormat="1" applyFont="1" applyFill="1" applyBorder="1" applyAlignment="1">
      <alignment horizontal="center" vertical="center"/>
    </xf>
    <xf numFmtId="177" fontId="2" fillId="16" borderId="1" xfId="0" applyNumberFormat="1" applyFont="1" applyFill="1" applyBorder="1" applyAlignment="1">
      <alignment horizontal="center" vertical="center"/>
    </xf>
    <xf numFmtId="177" fontId="2" fillId="17" borderId="1" xfId="0" applyNumberFormat="1" applyFont="1" applyFill="1" applyBorder="1" applyAlignment="1">
      <alignment horizontal="center" vertical="center"/>
    </xf>
    <xf numFmtId="177" fontId="2" fillId="18" borderId="1" xfId="0" applyNumberFormat="1" applyFont="1" applyFill="1" applyBorder="1" applyAlignment="1">
      <alignment horizontal="center" vertical="center"/>
    </xf>
    <xf numFmtId="177" fontId="2" fillId="19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178" fontId="19" fillId="0" borderId="1" xfId="0" applyNumberFormat="1" applyFont="1" applyBorder="1" applyAlignment="1">
      <alignment vertical="center"/>
    </xf>
    <xf numFmtId="178" fontId="14" fillId="0" borderId="1" xfId="0" applyNumberFormat="1" applyFont="1" applyBorder="1" applyAlignment="1">
      <alignment vertical="center"/>
    </xf>
    <xf numFmtId="178" fontId="2" fillId="0" borderId="1" xfId="0" applyNumberFormat="1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2" fillId="23" borderId="1" xfId="0" applyFont="1" applyFill="1" applyBorder="1" applyAlignment="1">
      <alignment horizontal="center" vertical="center"/>
    </xf>
    <xf numFmtId="177" fontId="2" fillId="23" borderId="1" xfId="0" applyNumberFormat="1" applyFont="1" applyFill="1" applyBorder="1" applyAlignment="1">
      <alignment horizontal="center" vertical="center"/>
    </xf>
    <xf numFmtId="182" fontId="21" fillId="0" borderId="1" xfId="0" applyNumberFormat="1" applyFont="1" applyBorder="1" applyAlignment="1">
      <alignment vertical="center"/>
    </xf>
    <xf numFmtId="185" fontId="21" fillId="21" borderId="1" xfId="0" applyNumberFormat="1" applyFont="1" applyFill="1" applyBorder="1" applyAlignment="1">
      <alignment horizontal="center" vertical="center"/>
    </xf>
    <xf numFmtId="185" fontId="21" fillId="0" borderId="1" xfId="0" applyNumberFormat="1" applyFont="1" applyBorder="1" applyAlignment="1">
      <alignment horizontal="center" vertical="center"/>
    </xf>
    <xf numFmtId="3" fontId="21" fillId="21" borderId="1" xfId="0" applyNumberFormat="1" applyFont="1" applyFill="1" applyBorder="1" applyAlignment="1">
      <alignment vertical="center"/>
    </xf>
    <xf numFmtId="0" fontId="21" fillId="21" borderId="1" xfId="0" applyFont="1" applyFill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2" fillId="11" borderId="1" xfId="0" applyFont="1" applyFill="1" applyBorder="1" applyAlignment="1">
      <alignment vertical="center"/>
    </xf>
    <xf numFmtId="182" fontId="14" fillId="0" borderId="1" xfId="0" applyNumberFormat="1" applyFont="1" applyBorder="1" applyAlignment="1">
      <alignment vertical="center"/>
    </xf>
    <xf numFmtId="177" fontId="2" fillId="11" borderId="1" xfId="0" applyNumberFormat="1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vertical="center"/>
    </xf>
    <xf numFmtId="0" fontId="11" fillId="4" borderId="1" xfId="0" applyFont="1" applyFill="1" applyBorder="1" applyAlignment="1">
      <alignment horizontal="center" vertical="center"/>
    </xf>
    <xf numFmtId="177" fontId="11" fillId="4" borderId="1" xfId="0" applyNumberFormat="1" applyFont="1" applyFill="1" applyBorder="1" applyAlignment="1">
      <alignment horizontal="center" vertical="center"/>
    </xf>
    <xf numFmtId="176" fontId="11" fillId="4" borderId="8" xfId="0" applyNumberFormat="1" applyFont="1" applyFill="1" applyBorder="1" applyAlignment="1">
      <alignment horizontal="center" vertical="center"/>
    </xf>
    <xf numFmtId="177" fontId="11" fillId="5" borderId="8" xfId="0" applyNumberFormat="1" applyFont="1" applyFill="1" applyBorder="1" applyAlignment="1">
      <alignment horizontal="center" vertical="center"/>
    </xf>
    <xf numFmtId="177" fontId="11" fillId="6" borderId="8" xfId="0" applyNumberFormat="1" applyFont="1" applyFill="1" applyBorder="1" applyAlignment="1">
      <alignment horizontal="center" vertical="center"/>
    </xf>
    <xf numFmtId="177" fontId="11" fillId="7" borderId="8" xfId="0" applyNumberFormat="1" applyFont="1" applyFill="1" applyBorder="1" applyAlignment="1">
      <alignment horizontal="center" vertical="center"/>
    </xf>
    <xf numFmtId="177" fontId="11" fillId="8" borderId="8" xfId="0" applyNumberFormat="1" applyFont="1" applyFill="1" applyBorder="1" applyAlignment="1">
      <alignment horizontal="center" vertical="center"/>
    </xf>
    <xf numFmtId="177" fontId="11" fillId="9" borderId="8" xfId="0" applyNumberFormat="1" applyFont="1" applyFill="1" applyBorder="1" applyAlignment="1">
      <alignment horizontal="center" vertical="center"/>
    </xf>
    <xf numFmtId="177" fontId="11" fillId="10" borderId="8" xfId="0" applyNumberFormat="1" applyFont="1" applyFill="1" applyBorder="1" applyAlignment="1">
      <alignment horizontal="center" vertical="center"/>
    </xf>
    <xf numFmtId="177" fontId="11" fillId="0" borderId="8" xfId="0" applyNumberFormat="1" applyFont="1" applyBorder="1" applyAlignment="1">
      <alignment horizontal="center" vertical="center"/>
    </xf>
    <xf numFmtId="177" fontId="2" fillId="13" borderId="35" xfId="0" applyNumberFormat="1" applyFont="1" applyFill="1" applyBorder="1" applyAlignment="1">
      <alignment horizontal="center" vertical="center"/>
    </xf>
    <xf numFmtId="177" fontId="2" fillId="14" borderId="8" xfId="0" applyNumberFormat="1" applyFont="1" applyFill="1" applyBorder="1" applyAlignment="1">
      <alignment horizontal="center" vertical="center"/>
    </xf>
    <xf numFmtId="177" fontId="2" fillId="15" borderId="8" xfId="0" applyNumberFormat="1" applyFont="1" applyFill="1" applyBorder="1" applyAlignment="1">
      <alignment horizontal="center" vertical="center"/>
    </xf>
    <xf numFmtId="177" fontId="2" fillId="21" borderId="8" xfId="0" applyNumberFormat="1" applyFont="1" applyFill="1" applyBorder="1" applyAlignment="1">
      <alignment horizontal="center" vertical="center"/>
    </xf>
    <xf numFmtId="177" fontId="2" fillId="0" borderId="42" xfId="0" applyNumberFormat="1" applyFont="1" applyBorder="1" applyAlignment="1">
      <alignment horizontal="center" vertical="center"/>
    </xf>
    <xf numFmtId="177" fontId="2" fillId="24" borderId="35" xfId="0" applyNumberFormat="1" applyFont="1" applyFill="1" applyBorder="1" applyAlignment="1">
      <alignment horizontal="center" vertical="center"/>
    </xf>
    <xf numFmtId="177" fontId="2" fillId="25" borderId="8" xfId="0" applyNumberFormat="1" applyFont="1" applyFill="1" applyBorder="1" applyAlignment="1">
      <alignment horizontal="center" vertical="center"/>
    </xf>
    <xf numFmtId="177" fontId="2" fillId="0" borderId="8" xfId="0" applyNumberFormat="1" applyFont="1" applyBorder="1" applyAlignment="1">
      <alignment horizontal="center" vertical="center"/>
    </xf>
    <xf numFmtId="177" fontId="2" fillId="13" borderId="8" xfId="0" applyNumberFormat="1" applyFont="1" applyFill="1" applyBorder="1" applyAlignment="1">
      <alignment horizontal="center" vertical="center"/>
    </xf>
    <xf numFmtId="177" fontId="2" fillId="16" borderId="8" xfId="0" applyNumberFormat="1" applyFont="1" applyFill="1" applyBorder="1" applyAlignment="1">
      <alignment horizontal="center" vertical="center"/>
    </xf>
    <xf numFmtId="177" fontId="2" fillId="17" borderId="8" xfId="0" applyNumberFormat="1" applyFont="1" applyFill="1" applyBorder="1" applyAlignment="1">
      <alignment horizontal="center" vertical="center"/>
    </xf>
    <xf numFmtId="177" fontId="2" fillId="18" borderId="8" xfId="0" applyNumberFormat="1" applyFont="1" applyFill="1" applyBorder="1" applyAlignment="1">
      <alignment horizontal="center" vertical="center"/>
    </xf>
    <xf numFmtId="177" fontId="2" fillId="19" borderId="8" xfId="0" applyNumberFormat="1" applyFont="1" applyFill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/>
    </xf>
    <xf numFmtId="177" fontId="2" fillId="23" borderId="8" xfId="0" applyNumberFormat="1" applyFont="1" applyFill="1" applyBorder="1" applyAlignment="1">
      <alignment horizontal="center" vertical="center"/>
    </xf>
    <xf numFmtId="177" fontId="11" fillId="4" borderId="8" xfId="0" applyNumberFormat="1" applyFont="1" applyFill="1" applyBorder="1" applyAlignment="1">
      <alignment horizontal="center" vertical="center"/>
    </xf>
    <xf numFmtId="177" fontId="24" fillId="0" borderId="8" xfId="0" applyNumberFormat="1" applyFont="1" applyBorder="1" applyAlignment="1">
      <alignment horizontal="center" vertical="center"/>
    </xf>
    <xf numFmtId="177" fontId="24" fillId="0" borderId="42" xfId="0" applyNumberFormat="1" applyFont="1" applyBorder="1" applyAlignment="1">
      <alignment horizontal="center" vertical="center"/>
    </xf>
    <xf numFmtId="0" fontId="2" fillId="28" borderId="12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/>
    </xf>
    <xf numFmtId="177" fontId="2" fillId="28" borderId="12" xfId="0" applyNumberFormat="1" applyFont="1" applyFill="1" applyBorder="1" applyAlignment="1">
      <alignment horizontal="center" vertical="center"/>
    </xf>
    <xf numFmtId="177" fontId="2" fillId="28" borderId="1" xfId="0" applyNumberFormat="1" applyFont="1" applyFill="1" applyBorder="1" applyAlignment="1">
      <alignment horizontal="center" vertical="center"/>
    </xf>
    <xf numFmtId="177" fontId="2" fillId="28" borderId="5" xfId="0" applyNumberFormat="1" applyFont="1" applyFill="1" applyBorder="1" applyAlignment="1">
      <alignment horizontal="center" vertical="center"/>
    </xf>
    <xf numFmtId="177" fontId="2" fillId="28" borderId="8" xfId="0" applyNumberFormat="1" applyFont="1" applyFill="1" applyBorder="1" applyAlignment="1">
      <alignment horizontal="center" vertical="center"/>
    </xf>
    <xf numFmtId="177" fontId="2" fillId="11" borderId="8" xfId="0" applyNumberFormat="1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center" vertical="center"/>
    </xf>
    <xf numFmtId="177" fontId="2" fillId="29" borderId="1" xfId="0" applyNumberFormat="1" applyFont="1" applyFill="1" applyBorder="1" applyAlignment="1">
      <alignment horizontal="center" vertical="center"/>
    </xf>
    <xf numFmtId="177" fontId="2" fillId="29" borderId="8" xfId="0" applyNumberFormat="1" applyFont="1" applyFill="1" applyBorder="1" applyAlignment="1">
      <alignment horizontal="center" vertical="center"/>
    </xf>
    <xf numFmtId="0" fontId="2" fillId="30" borderId="1" xfId="0" applyFont="1" applyFill="1" applyBorder="1" applyAlignment="1">
      <alignment horizontal="center" vertical="center"/>
    </xf>
    <xf numFmtId="177" fontId="2" fillId="30" borderId="1" xfId="0" applyNumberFormat="1" applyFont="1" applyFill="1" applyBorder="1" applyAlignment="1">
      <alignment horizontal="center" vertical="center"/>
    </xf>
    <xf numFmtId="177" fontId="2" fillId="30" borderId="8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3" xfId="0" applyFont="1" applyBorder="1"/>
    <xf numFmtId="0" fontId="2" fillId="0" borderId="7" xfId="0" applyFont="1" applyBorder="1"/>
    <xf numFmtId="179" fontId="5" fillId="27" borderId="1" xfId="0" applyNumberFormat="1" applyFont="1" applyFill="1" applyBorder="1" applyAlignment="1">
      <alignment horizontal="center" vertical="center"/>
    </xf>
    <xf numFmtId="0" fontId="8" fillId="28" borderId="5" xfId="0" applyFont="1" applyFill="1" applyBorder="1"/>
    <xf numFmtId="0" fontId="8" fillId="28" borderId="13" xfId="0" applyFont="1" applyFill="1" applyBorder="1"/>
    <xf numFmtId="0" fontId="8" fillId="28" borderId="14" xfId="0" applyFont="1" applyFill="1" applyBorder="1"/>
    <xf numFmtId="0" fontId="5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177" fontId="11" fillId="0" borderId="8" xfId="0" applyNumberFormat="1" applyFont="1" applyBorder="1" applyAlignment="1">
      <alignment horizontal="center" vertical="center"/>
    </xf>
    <xf numFmtId="179" fontId="9" fillId="27" borderId="9" xfId="0" applyNumberFormat="1" applyFont="1" applyFill="1" applyBorder="1" applyAlignment="1">
      <alignment horizontal="center" vertical="center"/>
    </xf>
    <xf numFmtId="0" fontId="10" fillId="28" borderId="17" xfId="0" applyFont="1" applyFill="1" applyBorder="1"/>
    <xf numFmtId="0" fontId="10" fillId="28" borderId="18" xfId="0" applyFont="1" applyFill="1" applyBorder="1"/>
    <xf numFmtId="0" fontId="10" fillId="28" borderId="20" xfId="0" applyFont="1" applyFill="1" applyBorder="1"/>
    <xf numFmtId="0" fontId="10" fillId="28" borderId="21" xfId="0" applyFont="1" applyFill="1" applyBorder="1"/>
    <xf numFmtId="0" fontId="10" fillId="28" borderId="22" xfId="0" applyFont="1" applyFill="1" applyBorder="1"/>
    <xf numFmtId="178" fontId="11" fillId="0" borderId="1" xfId="0" applyNumberFormat="1" applyFont="1" applyBorder="1" applyAlignment="1">
      <alignment horizontal="center" vertical="center"/>
    </xf>
    <xf numFmtId="0" fontId="2" fillId="0" borderId="12" xfId="0" applyFont="1" applyBorder="1"/>
    <xf numFmtId="0" fontId="11" fillId="0" borderId="1" xfId="0" applyFont="1" applyBorder="1" applyAlignment="1">
      <alignment horizontal="center" vertical="center"/>
    </xf>
    <xf numFmtId="180" fontId="5" fillId="27" borderId="1" xfId="0" applyNumberFormat="1" applyFont="1" applyFill="1" applyBorder="1" applyAlignment="1">
      <alignment horizontal="center" vertical="center"/>
    </xf>
    <xf numFmtId="0" fontId="8" fillId="28" borderId="2" xfId="0" applyFont="1" applyFill="1" applyBorder="1"/>
    <xf numFmtId="0" fontId="8" fillId="28" borderId="6" xfId="0" applyFont="1" applyFill="1" applyBorder="1"/>
    <xf numFmtId="0" fontId="8" fillId="28" borderId="3" xfId="0" applyFont="1" applyFill="1" applyBorder="1"/>
    <xf numFmtId="0" fontId="11" fillId="0" borderId="8" xfId="0" applyFont="1" applyBorder="1" applyAlignment="1">
      <alignment horizontal="center" vertical="center"/>
    </xf>
    <xf numFmtId="0" fontId="8" fillId="28" borderId="7" xfId="0" applyFont="1" applyFill="1" applyBorder="1"/>
    <xf numFmtId="179" fontId="5" fillId="0" borderId="1" xfId="0" applyNumberFormat="1" applyFont="1" applyBorder="1" applyAlignment="1">
      <alignment horizontal="center" vertical="center"/>
    </xf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11" xfId="0" applyFont="1" applyBorder="1"/>
    <xf numFmtId="0" fontId="8" fillId="28" borderId="11" xfId="0" applyFont="1" applyFill="1" applyBorder="1"/>
    <xf numFmtId="0" fontId="8" fillId="0" borderId="2" xfId="0" applyFont="1" applyBorder="1"/>
    <xf numFmtId="0" fontId="8" fillId="0" borderId="13" xfId="0" applyFont="1" applyBorder="1"/>
    <xf numFmtId="0" fontId="8" fillId="0" borderId="0" xfId="0" applyFont="1"/>
    <xf numFmtId="0" fontId="8" fillId="0" borderId="3" xfId="0" applyFont="1" applyBorder="1"/>
    <xf numFmtId="0" fontId="5" fillId="0" borderId="1" xfId="0" applyFont="1" applyBorder="1" applyAlignment="1">
      <alignment horizontal="center" vertical="center"/>
    </xf>
    <xf numFmtId="177" fontId="5" fillId="27" borderId="1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" fillId="0" borderId="0" xfId="0" applyFont="1"/>
    <xf numFmtId="0" fontId="3" fillId="0" borderId="3" xfId="0" applyFont="1" applyBorder="1" applyAlignment="1">
      <alignment vertical="center"/>
    </xf>
    <xf numFmtId="0" fontId="4" fillId="0" borderId="0" xfId="0" applyFont="1"/>
    <xf numFmtId="0" fontId="4" fillId="0" borderId="3" xfId="0" applyFont="1" applyBorder="1"/>
    <xf numFmtId="179" fontId="5" fillId="0" borderId="11" xfId="0" applyNumberFormat="1" applyFont="1" applyBorder="1" applyAlignment="1">
      <alignment horizontal="center" vertical="center"/>
    </xf>
    <xf numFmtId="0" fontId="8" fillId="0" borderId="14" xfId="0" applyFont="1" applyBorder="1"/>
    <xf numFmtId="177" fontId="5" fillId="0" borderId="1" xfId="0" applyNumberFormat="1" applyFont="1" applyBorder="1" applyAlignment="1">
      <alignment horizontal="center" vertical="center"/>
    </xf>
    <xf numFmtId="0" fontId="6" fillId="27" borderId="1" xfId="0" applyFont="1" applyFill="1" applyBorder="1" applyAlignment="1">
      <alignment horizontal="left" vertical="center"/>
    </xf>
    <xf numFmtId="0" fontId="7" fillId="28" borderId="2" xfId="0" applyFont="1" applyFill="1" applyBorder="1"/>
    <xf numFmtId="0" fontId="7" fillId="28" borderId="5" xfId="0" applyFont="1" applyFill="1" applyBorder="1"/>
    <xf numFmtId="0" fontId="7" fillId="28" borderId="6" xfId="0" applyFont="1" applyFill="1" applyBorder="1"/>
    <xf numFmtId="0" fontId="7" fillId="28" borderId="3" xfId="0" applyFont="1" applyFill="1" applyBorder="1"/>
    <xf numFmtId="0" fontId="7" fillId="28" borderId="7" xfId="0" applyFont="1" applyFill="1" applyBorder="1"/>
    <xf numFmtId="179" fontId="9" fillId="27" borderId="10" xfId="0" applyNumberFormat="1" applyFont="1" applyFill="1" applyBorder="1" applyAlignment="1">
      <alignment horizontal="center" vertical="center"/>
    </xf>
    <xf numFmtId="0" fontId="10" fillId="28" borderId="23" xfId="0" applyFont="1" applyFill="1" applyBorder="1"/>
    <xf numFmtId="0" fontId="10" fillId="28" borderId="24" xfId="0" applyFont="1" applyFill="1" applyBorder="1"/>
    <xf numFmtId="0" fontId="10" fillId="28" borderId="25" xfId="0" applyFont="1" applyFill="1" applyBorder="1"/>
    <xf numFmtId="0" fontId="10" fillId="28" borderId="0" xfId="0" applyFont="1" applyFill="1"/>
    <xf numFmtId="0" fontId="10" fillId="28" borderId="26" xfId="0" applyFont="1" applyFill="1" applyBorder="1"/>
    <xf numFmtId="0" fontId="10" fillId="28" borderId="28" xfId="0" applyFont="1" applyFill="1" applyBorder="1"/>
    <xf numFmtId="0" fontId="10" fillId="28" borderId="15" xfId="0" applyFont="1" applyFill="1" applyBorder="1"/>
    <xf numFmtId="0" fontId="10" fillId="28" borderId="29" xfId="0" applyFont="1" applyFill="1" applyBorder="1"/>
    <xf numFmtId="0" fontId="8" fillId="28" borderId="0" xfId="0" applyFont="1" applyFill="1"/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8" fillId="0" borderId="34" xfId="0" applyFont="1" applyBorder="1"/>
    <xf numFmtId="179" fontId="5" fillId="0" borderId="8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81" fontId="5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7" fillId="0" borderId="2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3" xfId="0" applyFont="1" applyBorder="1"/>
    <xf numFmtId="0" fontId="7" fillId="0" borderId="7" xfId="0" applyFont="1" applyBorder="1"/>
    <xf numFmtId="179" fontId="9" fillId="0" borderId="10" xfId="0" applyNumberFormat="1" applyFont="1" applyBorder="1" applyAlignment="1">
      <alignment horizontal="center" vertical="center"/>
    </xf>
    <xf numFmtId="0" fontId="10" fillId="0" borderId="23" xfId="0" applyFont="1" applyBorder="1"/>
    <xf numFmtId="0" fontId="10" fillId="0" borderId="24" xfId="0" applyFont="1" applyBorder="1"/>
    <xf numFmtId="0" fontId="10" fillId="0" borderId="25" xfId="0" applyFont="1" applyBorder="1"/>
    <xf numFmtId="0" fontId="10" fillId="0" borderId="0" xfId="0" applyFont="1"/>
    <xf numFmtId="0" fontId="10" fillId="0" borderId="26" xfId="0" applyFont="1" applyBorder="1"/>
    <xf numFmtId="0" fontId="10" fillId="0" borderId="28" xfId="0" applyFont="1" applyBorder="1"/>
    <xf numFmtId="0" fontId="10" fillId="0" borderId="15" xfId="0" applyFont="1" applyBorder="1"/>
    <xf numFmtId="0" fontId="10" fillId="0" borderId="29" xfId="0" applyFont="1" applyBorder="1"/>
    <xf numFmtId="180" fontId="5" fillId="0" borderId="1" xfId="0" applyNumberFormat="1" applyFont="1" applyBorder="1" applyAlignment="1">
      <alignment horizontal="center" vertical="center"/>
    </xf>
    <xf numFmtId="179" fontId="9" fillId="0" borderId="9" xfId="0" applyNumberFormat="1" applyFont="1" applyBorder="1" applyAlignment="1">
      <alignment horizontal="center" vertical="center"/>
    </xf>
    <xf numFmtId="0" fontId="10" fillId="0" borderId="17" xfId="0" applyFont="1" applyBorder="1"/>
    <xf numFmtId="0" fontId="10" fillId="0" borderId="18" xfId="0" applyFont="1" applyBorder="1"/>
    <xf numFmtId="0" fontId="10" fillId="0" borderId="20" xfId="0" applyFont="1" applyBorder="1"/>
    <xf numFmtId="0" fontId="10" fillId="0" borderId="21" xfId="0" applyFont="1" applyBorder="1"/>
    <xf numFmtId="0" fontId="10" fillId="0" borderId="22" xfId="0" applyFont="1" applyBorder="1"/>
    <xf numFmtId="179" fontId="8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179" fontId="8" fillId="0" borderId="1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/>
    </xf>
    <xf numFmtId="179" fontId="10" fillId="0" borderId="9" xfId="0" applyNumberFormat="1" applyFont="1" applyBorder="1" applyAlignment="1">
      <alignment horizontal="center" vertical="center"/>
    </xf>
    <xf numFmtId="179" fontId="10" fillId="0" borderId="10" xfId="0" applyNumberFormat="1" applyFont="1" applyBorder="1" applyAlignment="1">
      <alignment horizontal="center" vertical="center"/>
    </xf>
    <xf numFmtId="179" fontId="8" fillId="28" borderId="1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80" fontId="8" fillId="0" borderId="1" xfId="0" applyNumberFormat="1" applyFont="1" applyBorder="1" applyAlignment="1">
      <alignment horizontal="center" vertical="center"/>
    </xf>
    <xf numFmtId="179" fontId="8" fillId="0" borderId="8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77" fontId="8" fillId="28" borderId="1" xfId="0" applyNumberFormat="1" applyFont="1" applyFill="1" applyBorder="1" applyAlignment="1">
      <alignment horizontal="center" vertical="center"/>
    </xf>
    <xf numFmtId="177" fontId="2" fillId="0" borderId="8" xfId="0" applyNumberFormat="1" applyFont="1" applyBorder="1" applyAlignment="1">
      <alignment horizontal="center" vertical="center"/>
    </xf>
    <xf numFmtId="0" fontId="7" fillId="12" borderId="1" xfId="0" applyFont="1" applyFill="1" applyBorder="1" applyAlignment="1">
      <alignment horizontal="left" vertical="center"/>
    </xf>
    <xf numFmtId="179" fontId="8" fillId="11" borderId="1" xfId="0" applyNumberFormat="1" applyFont="1" applyFill="1" applyBorder="1" applyAlignment="1">
      <alignment horizontal="center" vertical="center"/>
    </xf>
    <xf numFmtId="177" fontId="8" fillId="11" borderId="1" xfId="0" applyNumberFormat="1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79" fontId="8" fillId="0" borderId="37" xfId="0" applyNumberFormat="1" applyFont="1" applyBorder="1" applyAlignment="1">
      <alignment horizontal="center" vertical="center"/>
    </xf>
    <xf numFmtId="0" fontId="8" fillId="0" borderId="27" xfId="0" applyFont="1" applyBorder="1"/>
    <xf numFmtId="179" fontId="8" fillId="0" borderId="32" xfId="0" applyNumberFormat="1" applyFont="1" applyBorder="1" applyAlignment="1">
      <alignment horizontal="center" vertical="center"/>
    </xf>
    <xf numFmtId="180" fontId="8" fillId="0" borderId="32" xfId="0" applyNumberFormat="1" applyFont="1" applyBorder="1" applyAlignment="1">
      <alignment horizontal="center" vertical="center"/>
    </xf>
    <xf numFmtId="179" fontId="8" fillId="0" borderId="12" xfId="0" applyNumberFormat="1" applyFont="1" applyBorder="1" applyAlignment="1">
      <alignment horizontal="center" vertical="center"/>
    </xf>
    <xf numFmtId="179" fontId="10" fillId="0" borderId="38" xfId="0" applyNumberFormat="1" applyFont="1" applyBorder="1" applyAlignment="1">
      <alignment horizontal="center" vertical="center"/>
    </xf>
    <xf numFmtId="179" fontId="10" fillId="0" borderId="36" xfId="0" applyNumberFormat="1" applyFont="1" applyBorder="1" applyAlignment="1">
      <alignment horizontal="center" vertical="center"/>
    </xf>
    <xf numFmtId="179" fontId="8" fillId="0" borderId="33" xfId="0" applyNumberFormat="1" applyFont="1" applyBorder="1" applyAlignment="1">
      <alignment horizontal="center" vertical="center"/>
    </xf>
    <xf numFmtId="179" fontId="8" fillId="0" borderId="35" xfId="0" applyNumberFormat="1" applyFont="1" applyBorder="1" applyAlignment="1">
      <alignment horizontal="center" vertical="center"/>
    </xf>
    <xf numFmtId="0" fontId="8" fillId="0" borderId="25" xfId="0" applyFont="1" applyBorder="1"/>
    <xf numFmtId="177" fontId="8" fillId="0" borderId="33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179" fontId="17" fillId="0" borderId="1" xfId="0" applyNumberFormat="1" applyFont="1" applyBorder="1" applyAlignment="1">
      <alignment horizontal="center" vertical="center"/>
    </xf>
    <xf numFmtId="0" fontId="4" fillId="0" borderId="34" xfId="0" applyFont="1" applyBorder="1" applyAlignment="1">
      <alignment vertical="center"/>
    </xf>
    <xf numFmtId="0" fontId="4" fillId="0" borderId="2" xfId="0" applyFont="1" applyBorder="1"/>
    <xf numFmtId="178" fontId="2" fillId="0" borderId="12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3" xfId="0" applyFont="1" applyBorder="1"/>
    <xf numFmtId="0" fontId="7" fillId="26" borderId="1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2" fillId="0" borderId="34" xfId="0" applyFont="1" applyBorder="1"/>
    <xf numFmtId="0" fontId="2" fillId="0" borderId="14" xfId="0" applyFont="1" applyBorder="1"/>
    <xf numFmtId="184" fontId="8" fillId="0" borderId="32" xfId="0" applyNumberFormat="1" applyFont="1" applyBorder="1" applyAlignment="1">
      <alignment horizontal="center" vertical="center"/>
    </xf>
    <xf numFmtId="0" fontId="8" fillId="0" borderId="16" xfId="0" applyFont="1" applyBorder="1"/>
    <xf numFmtId="0" fontId="8" fillId="0" borderId="19" xfId="0" applyFont="1" applyBorder="1"/>
    <xf numFmtId="0" fontId="10" fillId="0" borderId="41" xfId="0" applyFont="1" applyBorder="1"/>
    <xf numFmtId="0" fontId="10" fillId="0" borderId="27" xfId="0" applyFont="1" applyBorder="1"/>
    <xf numFmtId="0" fontId="10" fillId="0" borderId="3" xfId="0" applyFont="1" applyBorder="1"/>
    <xf numFmtId="0" fontId="10" fillId="0" borderId="19" xfId="0" applyFont="1" applyBorder="1"/>
    <xf numFmtId="177" fontId="8" fillId="0" borderId="32" xfId="0" applyNumberFormat="1" applyFont="1" applyBorder="1" applyAlignment="1">
      <alignment horizontal="center" vertical="center"/>
    </xf>
    <xf numFmtId="184" fontId="8" fillId="0" borderId="1" xfId="0" applyNumberFormat="1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30" xfId="0" applyFont="1" applyBorder="1"/>
    <xf numFmtId="0" fontId="8" fillId="0" borderId="40" xfId="0" applyFont="1" applyBorder="1" applyAlignment="1">
      <alignment horizontal="center" vertical="center"/>
    </xf>
    <xf numFmtId="179" fontId="10" fillId="0" borderId="31" xfId="0" applyNumberFormat="1" applyFont="1" applyBorder="1" applyAlignment="1">
      <alignment horizontal="center" vertical="center"/>
    </xf>
    <xf numFmtId="0" fontId="10" fillId="0" borderId="2" xfId="0" applyFont="1" applyBorder="1"/>
    <xf numFmtId="0" fontId="10" fillId="0" borderId="16" xfId="0" applyFont="1" applyBorder="1"/>
    <xf numFmtId="0" fontId="8" fillId="0" borderId="3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70"/>
  <sheetViews>
    <sheetView topLeftCell="A28" zoomScale="70" zoomScaleNormal="70" workbookViewId="0">
      <selection activeCell="L33" sqref="L33:L63"/>
    </sheetView>
  </sheetViews>
  <sheetFormatPr defaultRowHeight="13.9" x14ac:dyDescent="0.4"/>
  <cols>
    <col min="1" max="2" width="9.0625" style="3" bestFit="1" customWidth="1"/>
    <col min="3" max="3" width="9.125" style="3" bestFit="1" customWidth="1"/>
    <col min="4" max="4" width="10.25" style="3" customWidth="1"/>
    <col min="5" max="11" width="9.125" style="3" bestFit="1" customWidth="1"/>
    <col min="12" max="12" width="11.4375" style="3" bestFit="1" customWidth="1"/>
    <col min="13" max="16384" width="9" style="3"/>
  </cols>
  <sheetData>
    <row r="1" spans="1:12" x14ac:dyDescent="0.4">
      <c r="A1" s="1">
        <v>1</v>
      </c>
      <c r="B1" s="1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190" t="s">
        <v>31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162" t="s">
        <v>32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123" t="e">
        <f>#REF!</f>
        <v>#REF!</v>
      </c>
      <c r="B7" s="157"/>
      <c r="C7" s="157"/>
      <c r="D7" s="157"/>
      <c r="E7" s="184" t="s">
        <v>2</v>
      </c>
      <c r="F7" s="184"/>
      <c r="G7" s="184"/>
      <c r="H7" s="185"/>
      <c r="I7" s="192" t="s">
        <v>33</v>
      </c>
      <c r="J7" s="193"/>
      <c r="K7" s="193"/>
      <c r="L7" s="194"/>
    </row>
    <row r="8" spans="1:12" ht="24.75" customHeight="1" x14ac:dyDescent="0.4">
      <c r="A8" s="158"/>
      <c r="B8" s="159"/>
      <c r="C8" s="159"/>
      <c r="D8" s="159"/>
      <c r="E8" s="186"/>
      <c r="F8" s="186"/>
      <c r="G8" s="186"/>
      <c r="H8" s="187"/>
      <c r="I8" s="195"/>
      <c r="J8" s="196"/>
      <c r="K8" s="196"/>
      <c r="L8" s="197"/>
    </row>
    <row r="9" spans="1:12" x14ac:dyDescent="0.4">
      <c r="A9" s="155" t="s">
        <v>4</v>
      </c>
      <c r="B9" s="146"/>
      <c r="C9" s="155" t="s">
        <v>5</v>
      </c>
      <c r="D9" s="155" t="s">
        <v>6</v>
      </c>
      <c r="E9" s="155" t="s">
        <v>7</v>
      </c>
      <c r="F9" s="146"/>
      <c r="G9" s="155" t="s">
        <v>8</v>
      </c>
      <c r="H9" s="151"/>
      <c r="I9" s="146"/>
      <c r="J9" s="167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145" t="s">
        <v>9</v>
      </c>
      <c r="B11" s="146"/>
      <c r="C11" s="191">
        <f>C64</f>
        <v>0</v>
      </c>
      <c r="D11" s="145">
        <v>1800</v>
      </c>
      <c r="E11" s="145">
        <f>D11*C11</f>
        <v>0</v>
      </c>
      <c r="F11" s="146"/>
      <c r="G11" s="145" t="s">
        <v>10</v>
      </c>
      <c r="H11" s="151"/>
      <c r="I11" s="146"/>
      <c r="J11" s="167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145" t="s">
        <v>34</v>
      </c>
      <c r="B13" s="146"/>
      <c r="C13" s="145">
        <f>D64</f>
        <v>0</v>
      </c>
      <c r="D13" s="145">
        <v>13000</v>
      </c>
      <c r="E13" s="145">
        <f>D13*C13</f>
        <v>0</v>
      </c>
      <c r="F13" s="146"/>
      <c r="G13" s="145"/>
      <c r="H13" s="151"/>
      <c r="I13" s="146"/>
      <c r="J13" s="145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145" t="s">
        <v>12</v>
      </c>
      <c r="B15" s="146"/>
      <c r="C15" s="145">
        <f>E64</f>
        <v>0</v>
      </c>
      <c r="D15" s="145">
        <v>15000</v>
      </c>
      <c r="E15" s="145">
        <f>D15*C15</f>
        <v>0</v>
      </c>
      <c r="F15" s="146"/>
      <c r="G15" s="145"/>
      <c r="H15" s="151"/>
      <c r="I15" s="146"/>
      <c r="J15" s="145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145" t="s">
        <v>13</v>
      </c>
      <c r="B17" s="146"/>
      <c r="C17" s="145">
        <f>G64</f>
        <v>0</v>
      </c>
      <c r="D17" s="145">
        <v>4500</v>
      </c>
      <c r="E17" s="145">
        <f>D17*C17</f>
        <v>0</v>
      </c>
      <c r="F17" s="146"/>
      <c r="G17" s="145" t="s">
        <v>14</v>
      </c>
      <c r="H17" s="146"/>
      <c r="I17" s="167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145" t="s">
        <v>15</v>
      </c>
      <c r="B19" s="146"/>
      <c r="C19" s="145">
        <f>H64</f>
        <v>0</v>
      </c>
      <c r="D19" s="145">
        <v>5000</v>
      </c>
      <c r="E19" s="145">
        <f>D19*C19</f>
        <v>0</v>
      </c>
      <c r="F19" s="146"/>
      <c r="G19" s="145"/>
      <c r="H19" s="146"/>
      <c r="I19" s="167"/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145" t="s">
        <v>17</v>
      </c>
      <c r="B21" s="146"/>
      <c r="C21" s="145">
        <f>I64</f>
        <v>0</v>
      </c>
      <c r="D21" s="145">
        <v>6000</v>
      </c>
      <c r="E21" s="145">
        <f>D21*C21</f>
        <v>0</v>
      </c>
      <c r="F21" s="146"/>
      <c r="G21" s="145"/>
      <c r="H21" s="146"/>
      <c r="I21" s="167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145" t="s">
        <v>19</v>
      </c>
      <c r="B23" s="146"/>
      <c r="C23" s="145" t="s">
        <v>5</v>
      </c>
      <c r="D23" s="145" t="s">
        <v>6</v>
      </c>
      <c r="E23" s="145" t="s">
        <v>7</v>
      </c>
      <c r="F23" s="146"/>
      <c r="G23" s="145"/>
      <c r="H23" s="146"/>
      <c r="I23" s="167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145">
        <f>F64</f>
        <v>0</v>
      </c>
      <c r="D25" s="207">
        <v>3000</v>
      </c>
      <c r="E25" s="207">
        <f>D25*C25</f>
        <v>0</v>
      </c>
      <c r="F25" s="151"/>
      <c r="G25" s="208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189" t="s">
        <v>21</v>
      </c>
      <c r="B27" s="151"/>
      <c r="C27" s="146"/>
      <c r="D27" s="145">
        <f>E11+E13+E15+E17+E19+E21-E25</f>
        <v>0</v>
      </c>
      <c r="E27" s="151"/>
      <c r="F27" s="151"/>
      <c r="G27" s="198">
        <f>I17-I19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165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155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38" t="s">
        <v>23</v>
      </c>
      <c r="B32" s="137"/>
      <c r="C32" s="6" t="s">
        <v>9</v>
      </c>
      <c r="D32" s="7" t="s">
        <v>34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13"/>
      <c r="K32" s="14"/>
      <c r="L32" s="5" t="s">
        <v>26</v>
      </c>
    </row>
    <row r="33" spans="1:12" x14ac:dyDescent="0.4">
      <c r="A33" s="136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21"/>
      <c r="K33" s="14"/>
      <c r="L33" s="22">
        <f t="shared" ref="L33:L63" si="0">I33*6000+H33*5000+G33*4500-F33*3000+E33*15000+D33*13000+C33*1800</f>
        <v>0</v>
      </c>
    </row>
    <row r="34" spans="1:12" x14ac:dyDescent="0.4">
      <c r="A34" s="136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21"/>
      <c r="K34" s="14"/>
      <c r="L34" s="22">
        <f t="shared" si="0"/>
        <v>0</v>
      </c>
    </row>
    <row r="35" spans="1:12" x14ac:dyDescent="0.4">
      <c r="A35" s="136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21"/>
      <c r="K35" s="14"/>
      <c r="L35" s="22">
        <f t="shared" si="0"/>
        <v>0</v>
      </c>
    </row>
    <row r="36" spans="1:12" x14ac:dyDescent="0.4">
      <c r="A36" s="136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21"/>
      <c r="K36" s="14"/>
      <c r="L36" s="22">
        <f t="shared" si="0"/>
        <v>0</v>
      </c>
    </row>
    <row r="37" spans="1:12" x14ac:dyDescent="0.4">
      <c r="A37" s="136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21"/>
      <c r="K37" s="14"/>
      <c r="L37" s="22">
        <f t="shared" si="0"/>
        <v>0</v>
      </c>
    </row>
    <row r="38" spans="1:12" x14ac:dyDescent="0.4">
      <c r="A38" s="136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21"/>
      <c r="K38" s="14"/>
      <c r="L38" s="22">
        <f t="shared" si="0"/>
        <v>0</v>
      </c>
    </row>
    <row r="39" spans="1:12" x14ac:dyDescent="0.4">
      <c r="A39" s="136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21"/>
      <c r="K39" s="14"/>
      <c r="L39" s="22">
        <f t="shared" si="0"/>
        <v>0</v>
      </c>
    </row>
    <row r="40" spans="1:12" x14ac:dyDescent="0.4">
      <c r="A40" s="136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21"/>
      <c r="K40" s="14"/>
      <c r="L40" s="22">
        <f t="shared" si="0"/>
        <v>0</v>
      </c>
    </row>
    <row r="41" spans="1:12" x14ac:dyDescent="0.4">
      <c r="A41" s="136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21"/>
      <c r="K41" s="14"/>
      <c r="L41" s="22">
        <f t="shared" si="0"/>
        <v>0</v>
      </c>
    </row>
    <row r="42" spans="1:12" x14ac:dyDescent="0.4">
      <c r="A42" s="136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21"/>
      <c r="K42" s="14"/>
      <c r="L42" s="22">
        <f t="shared" si="0"/>
        <v>0</v>
      </c>
    </row>
    <row r="43" spans="1:12" x14ac:dyDescent="0.4">
      <c r="A43" s="136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21"/>
      <c r="K43" s="14"/>
      <c r="L43" s="22">
        <f t="shared" si="0"/>
        <v>0</v>
      </c>
    </row>
    <row r="44" spans="1:12" x14ac:dyDescent="0.4">
      <c r="A44" s="136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21"/>
      <c r="K44" s="14"/>
      <c r="L44" s="22">
        <f t="shared" si="0"/>
        <v>0</v>
      </c>
    </row>
    <row r="45" spans="1:12" x14ac:dyDescent="0.4">
      <c r="A45" s="136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21"/>
      <c r="K45" s="14"/>
      <c r="L45" s="22">
        <f t="shared" si="0"/>
        <v>0</v>
      </c>
    </row>
    <row r="46" spans="1:12" x14ac:dyDescent="0.4">
      <c r="A46" s="136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21"/>
      <c r="K46" s="14"/>
      <c r="L46" s="22">
        <f t="shared" si="0"/>
        <v>0</v>
      </c>
    </row>
    <row r="47" spans="1:12" x14ac:dyDescent="0.4">
      <c r="A47" s="136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21"/>
      <c r="K47" s="14"/>
      <c r="L47" s="22">
        <f t="shared" si="0"/>
        <v>0</v>
      </c>
    </row>
    <row r="48" spans="1:12" x14ac:dyDescent="0.4">
      <c r="A48" s="136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21"/>
      <c r="K48" s="14"/>
      <c r="L48" s="22">
        <f t="shared" si="0"/>
        <v>0</v>
      </c>
    </row>
    <row r="49" spans="1:12" x14ac:dyDescent="0.4">
      <c r="A49" s="136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21"/>
      <c r="K49" s="14"/>
      <c r="L49" s="22">
        <f t="shared" si="0"/>
        <v>0</v>
      </c>
    </row>
    <row r="50" spans="1:12" x14ac:dyDescent="0.4">
      <c r="A50" s="136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21"/>
      <c r="K50" s="14"/>
      <c r="L50" s="22">
        <f t="shared" si="0"/>
        <v>0</v>
      </c>
    </row>
    <row r="51" spans="1:12" x14ac:dyDescent="0.4">
      <c r="A51" s="136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21"/>
      <c r="K51" s="14"/>
      <c r="L51" s="22">
        <f t="shared" si="0"/>
        <v>0</v>
      </c>
    </row>
    <row r="52" spans="1:12" x14ac:dyDescent="0.4">
      <c r="A52" s="136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21"/>
      <c r="K52" s="14"/>
      <c r="L52" s="22">
        <f t="shared" si="0"/>
        <v>0</v>
      </c>
    </row>
    <row r="53" spans="1:12" x14ac:dyDescent="0.4">
      <c r="A53" s="136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21"/>
      <c r="K53" s="14"/>
      <c r="L53" s="22">
        <f t="shared" si="0"/>
        <v>0</v>
      </c>
    </row>
    <row r="54" spans="1:12" x14ac:dyDescent="0.4">
      <c r="A54" s="136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21"/>
      <c r="K54" s="14"/>
      <c r="L54" s="22">
        <f t="shared" si="0"/>
        <v>0</v>
      </c>
    </row>
    <row r="55" spans="1:12" x14ac:dyDescent="0.4">
      <c r="A55" s="136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21"/>
      <c r="K55" s="14"/>
      <c r="L55" s="22">
        <f t="shared" si="0"/>
        <v>0</v>
      </c>
    </row>
    <row r="56" spans="1:12" x14ac:dyDescent="0.4">
      <c r="A56" s="136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21"/>
      <c r="K56" s="14"/>
      <c r="L56" s="22">
        <f t="shared" si="0"/>
        <v>0</v>
      </c>
    </row>
    <row r="57" spans="1:12" x14ac:dyDescent="0.4">
      <c r="A57" s="136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21"/>
      <c r="K57" s="14"/>
      <c r="L57" s="22">
        <f t="shared" si="0"/>
        <v>0</v>
      </c>
    </row>
    <row r="58" spans="1:12" x14ac:dyDescent="0.4">
      <c r="A58" s="136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21"/>
      <c r="K58" s="14"/>
      <c r="L58" s="22">
        <f t="shared" si="0"/>
        <v>0</v>
      </c>
    </row>
    <row r="59" spans="1:12" x14ac:dyDescent="0.4">
      <c r="A59" s="136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21"/>
      <c r="K59" s="14"/>
      <c r="L59" s="22">
        <f t="shared" si="0"/>
        <v>0</v>
      </c>
    </row>
    <row r="60" spans="1:12" x14ac:dyDescent="0.4">
      <c r="A60" s="136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21"/>
      <c r="K60" s="14"/>
      <c r="L60" s="22">
        <f t="shared" si="0"/>
        <v>0</v>
      </c>
    </row>
    <row r="61" spans="1:12" x14ac:dyDescent="0.4">
      <c r="A61" s="136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21"/>
      <c r="K61" s="14"/>
      <c r="L61" s="22">
        <f t="shared" si="0"/>
        <v>0</v>
      </c>
    </row>
    <row r="62" spans="1:12" x14ac:dyDescent="0.4">
      <c r="A62" s="136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21"/>
      <c r="K62" s="14"/>
      <c r="L62" s="22">
        <f t="shared" si="0"/>
        <v>0</v>
      </c>
    </row>
    <row r="63" spans="1:12" x14ac:dyDescent="0.4">
      <c r="A63" s="136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21"/>
      <c r="K63" s="14"/>
      <c r="L63" s="22">
        <f t="shared" si="0"/>
        <v>0</v>
      </c>
    </row>
    <row r="64" spans="1:12" x14ac:dyDescent="0.4">
      <c r="A64" s="143" t="s">
        <v>26</v>
      </c>
      <c r="B64" s="115"/>
      <c r="C64" s="74">
        <f t="shared" ref="C64:L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81">
        <f t="shared" si="1"/>
        <v>0</v>
      </c>
      <c r="K64" s="81">
        <f t="shared" si="1"/>
        <v>0</v>
      </c>
      <c r="L64" s="98">
        <f t="shared" si="1"/>
        <v>0</v>
      </c>
    </row>
    <row r="65" spans="1:12" x14ac:dyDescent="0.4">
      <c r="A65" s="123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 t="s">
        <v>35</v>
      </c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A50:B50"/>
    <mergeCell ref="A54:B54"/>
    <mergeCell ref="A53:B53"/>
    <mergeCell ref="A61:B61"/>
    <mergeCell ref="A56:B56"/>
    <mergeCell ref="E25:F26"/>
    <mergeCell ref="A59:B59"/>
    <mergeCell ref="A58:B58"/>
    <mergeCell ref="A51:B51"/>
    <mergeCell ref="A35:B35"/>
    <mergeCell ref="A57:B57"/>
    <mergeCell ref="A33:B33"/>
    <mergeCell ref="A42:B42"/>
    <mergeCell ref="E9:F10"/>
    <mergeCell ref="A34:B34"/>
    <mergeCell ref="A49:B49"/>
    <mergeCell ref="G9:I10"/>
    <mergeCell ref="D27:F30"/>
    <mergeCell ref="A32:B32"/>
    <mergeCell ref="I17:L18"/>
    <mergeCell ref="A9:B10"/>
    <mergeCell ref="A36:B36"/>
    <mergeCell ref="G11:I12"/>
    <mergeCell ref="C21:C22"/>
    <mergeCell ref="C17:C18"/>
    <mergeCell ref="D25:D26"/>
    <mergeCell ref="A31:L31"/>
    <mergeCell ref="A27:C28"/>
    <mergeCell ref="I23:L24"/>
    <mergeCell ref="E17:F18"/>
    <mergeCell ref="I19:L20"/>
    <mergeCell ref="A48:B48"/>
    <mergeCell ref="G25:L26"/>
    <mergeCell ref="A11:B12"/>
    <mergeCell ref="E13:F14"/>
    <mergeCell ref="A41:B41"/>
    <mergeCell ref="D13:D14"/>
    <mergeCell ref="A13:B14"/>
    <mergeCell ref="I21:L22"/>
    <mergeCell ref="A47:B47"/>
    <mergeCell ref="E15:F16"/>
    <mergeCell ref="A45:B45"/>
    <mergeCell ref="D17:D18"/>
    <mergeCell ref="D11:D12"/>
    <mergeCell ref="G17:H18"/>
    <mergeCell ref="G13:I14"/>
    <mergeCell ref="J11:L12"/>
    <mergeCell ref="A39:B39"/>
    <mergeCell ref="D21:D22"/>
    <mergeCell ref="A21:B22"/>
    <mergeCell ref="G27:L30"/>
    <mergeCell ref="A37:B37"/>
    <mergeCell ref="A46:B46"/>
    <mergeCell ref="J15:L16"/>
    <mergeCell ref="I69:L70"/>
    <mergeCell ref="G23:H24"/>
    <mergeCell ref="A65:L66"/>
    <mergeCell ref="G15:I16"/>
    <mergeCell ref="A38:B38"/>
    <mergeCell ref="A43:B43"/>
    <mergeCell ref="E23:F24"/>
    <mergeCell ref="D15:D16"/>
    <mergeCell ref="A67:C68"/>
    <mergeCell ref="C25:C26"/>
    <mergeCell ref="A19:B20"/>
    <mergeCell ref="I67:L68"/>
    <mergeCell ref="E21:F22"/>
    <mergeCell ref="G21:H22"/>
    <mergeCell ref="A63:B63"/>
    <mergeCell ref="A55:B55"/>
    <mergeCell ref="C19:C20"/>
    <mergeCell ref="A52:B52"/>
    <mergeCell ref="A60:B60"/>
    <mergeCell ref="D69:H70"/>
    <mergeCell ref="A64:B64"/>
    <mergeCell ref="D67:H68"/>
    <mergeCell ref="A69:C70"/>
    <mergeCell ref="A62:B62"/>
    <mergeCell ref="A3:L4"/>
    <mergeCell ref="C13:C14"/>
    <mergeCell ref="D19:D20"/>
    <mergeCell ref="A5:L6"/>
    <mergeCell ref="C15:C16"/>
    <mergeCell ref="A44:B44"/>
    <mergeCell ref="A29:C30"/>
    <mergeCell ref="E19:F20"/>
    <mergeCell ref="D23:D24"/>
    <mergeCell ref="G19:H20"/>
    <mergeCell ref="A23:B26"/>
    <mergeCell ref="A17:B18"/>
    <mergeCell ref="C9:C10"/>
    <mergeCell ref="C11:C12"/>
    <mergeCell ref="J9:L10"/>
    <mergeCell ref="J13:L14"/>
    <mergeCell ref="C23:C24"/>
    <mergeCell ref="A15:B16"/>
    <mergeCell ref="I7:L8"/>
    <mergeCell ref="E7:H8"/>
    <mergeCell ref="E11:F12"/>
    <mergeCell ref="A7:D8"/>
    <mergeCell ref="A40:B40"/>
    <mergeCell ref="D9:D10"/>
  </mergeCells>
  <phoneticPr fontId="1" type="noConversion"/>
  <pageMargins left="0.7" right="0.7" top="0.75" bottom="0.75" header="0.3" footer="0.3"/>
  <pageSetup paperSize="9" scale="71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70"/>
  <sheetViews>
    <sheetView zoomScale="85" zoomScaleNormal="85" workbookViewId="0">
      <selection activeCell="P19" sqref="P19"/>
    </sheetView>
  </sheetViews>
  <sheetFormatPr defaultRowHeight="13.9" x14ac:dyDescent="0.4"/>
  <cols>
    <col min="1" max="3" width="9.0625" style="3" bestFit="1" customWidth="1"/>
    <col min="4" max="4" width="10.625" style="3" bestFit="1" customWidth="1"/>
    <col min="5" max="11" width="9.0625" style="3" bestFit="1" customWidth="1"/>
    <col min="12" max="12" width="9.5625" style="3" bestFit="1" customWidth="1"/>
    <col min="13" max="16384" width="9" style="3"/>
  </cols>
  <sheetData>
    <row r="1" spans="1:12" x14ac:dyDescent="0.4">
      <c r="A1" s="70">
        <v>1</v>
      </c>
      <c r="B1" s="2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71">
        <v>2707000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3" spans="1:12" x14ac:dyDescent="0.4">
      <c r="A3" s="160" t="s">
        <v>36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162" t="s">
        <v>37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123" t="s">
        <v>213</v>
      </c>
      <c r="B7" s="157"/>
      <c r="C7" s="157"/>
      <c r="D7" s="157"/>
      <c r="E7" s="184" t="s">
        <v>2</v>
      </c>
      <c r="F7" s="184"/>
      <c r="G7" s="184"/>
      <c r="H7" s="185"/>
      <c r="I7" s="168" t="s">
        <v>38</v>
      </c>
      <c r="J7" s="169"/>
      <c r="K7" s="169"/>
      <c r="L7" s="170"/>
    </row>
    <row r="8" spans="1:12" ht="24.75" customHeight="1" x14ac:dyDescent="0.4">
      <c r="A8" s="158"/>
      <c r="B8" s="159"/>
      <c r="C8" s="159"/>
      <c r="D8" s="159"/>
      <c r="E8" s="186"/>
      <c r="F8" s="186"/>
      <c r="G8" s="186"/>
      <c r="H8" s="187"/>
      <c r="I8" s="171"/>
      <c r="J8" s="172"/>
      <c r="K8" s="172"/>
      <c r="L8" s="173"/>
    </row>
    <row r="9" spans="1:12" x14ac:dyDescent="0.4">
      <c r="A9" s="155" t="s">
        <v>4</v>
      </c>
      <c r="B9" s="146"/>
      <c r="C9" s="155" t="s">
        <v>5</v>
      </c>
      <c r="D9" s="155" t="s">
        <v>6</v>
      </c>
      <c r="E9" s="155" t="s">
        <v>7</v>
      </c>
      <c r="F9" s="146"/>
      <c r="G9" s="155" t="s">
        <v>8</v>
      </c>
      <c r="H9" s="151"/>
      <c r="I9" s="146"/>
      <c r="J9" s="167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145" t="s">
        <v>39</v>
      </c>
      <c r="B11" s="146"/>
      <c r="C11" s="145">
        <f>C64</f>
        <v>0</v>
      </c>
      <c r="D11" s="145">
        <v>2000</v>
      </c>
      <c r="E11" s="145">
        <f>D11*C11</f>
        <v>0</v>
      </c>
      <c r="F11" s="146"/>
      <c r="G11" s="145" t="s">
        <v>10</v>
      </c>
      <c r="H11" s="151"/>
      <c r="I11" s="146"/>
      <c r="J11" s="167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145" t="s">
        <v>11</v>
      </c>
      <c r="B13" s="146"/>
      <c r="C13" s="145">
        <f>D64</f>
        <v>0</v>
      </c>
      <c r="D13" s="145">
        <v>13000</v>
      </c>
      <c r="E13" s="145">
        <f>D13*C13</f>
        <v>0</v>
      </c>
      <c r="F13" s="146"/>
      <c r="G13" s="145"/>
      <c r="H13" s="151"/>
      <c r="I13" s="146"/>
      <c r="J13" s="145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145" t="s">
        <v>12</v>
      </c>
      <c r="B15" s="146"/>
      <c r="C15" s="145">
        <f>E64</f>
        <v>0</v>
      </c>
      <c r="D15" s="145">
        <v>13000</v>
      </c>
      <c r="E15" s="145">
        <f>D15*C15</f>
        <v>0</v>
      </c>
      <c r="F15" s="146"/>
      <c r="G15" s="145"/>
      <c r="H15" s="151"/>
      <c r="I15" s="146"/>
      <c r="J15" s="145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145" t="s">
        <v>13</v>
      </c>
      <c r="B17" s="146"/>
      <c r="C17" s="145">
        <f>G64</f>
        <v>0</v>
      </c>
      <c r="D17" s="119">
        <v>3000</v>
      </c>
      <c r="E17" s="145">
        <f>D17*C17</f>
        <v>0</v>
      </c>
      <c r="F17" s="146"/>
      <c r="G17" s="119" t="s">
        <v>14</v>
      </c>
      <c r="H17" s="120"/>
      <c r="I17" s="156">
        <f>E11+E13+E15+E17+E19+E21-E25</f>
        <v>0</v>
      </c>
      <c r="J17" s="140"/>
      <c r="K17" s="140"/>
      <c r="L17" s="120"/>
    </row>
    <row r="18" spans="1:12" x14ac:dyDescent="0.4">
      <c r="A18" s="147"/>
      <c r="B18" s="148"/>
      <c r="C18" s="149"/>
      <c r="D18" s="150"/>
      <c r="E18" s="147"/>
      <c r="F18" s="148"/>
      <c r="G18" s="141"/>
      <c r="H18" s="144"/>
      <c r="I18" s="141"/>
      <c r="J18" s="142"/>
      <c r="K18" s="142"/>
      <c r="L18" s="144"/>
    </row>
    <row r="19" spans="1:12" x14ac:dyDescent="0.4">
      <c r="A19" s="145" t="s">
        <v>15</v>
      </c>
      <c r="B19" s="146"/>
      <c r="C19" s="145">
        <f>H64</f>
        <v>0</v>
      </c>
      <c r="D19" s="119">
        <v>3000</v>
      </c>
      <c r="E19" s="145">
        <f>D19*C19</f>
        <v>0</v>
      </c>
      <c r="F19" s="146"/>
      <c r="G19" s="119" t="s">
        <v>40</v>
      </c>
      <c r="H19" s="120"/>
      <c r="I19" s="156">
        <v>0</v>
      </c>
      <c r="J19" s="140"/>
      <c r="K19" s="140"/>
      <c r="L19" s="120"/>
    </row>
    <row r="20" spans="1:12" x14ac:dyDescent="0.4">
      <c r="A20" s="147"/>
      <c r="B20" s="148"/>
      <c r="C20" s="149"/>
      <c r="D20" s="150"/>
      <c r="E20" s="147"/>
      <c r="F20" s="148"/>
      <c r="G20" s="141"/>
      <c r="H20" s="144"/>
      <c r="I20" s="141"/>
      <c r="J20" s="142"/>
      <c r="K20" s="142"/>
      <c r="L20" s="144"/>
    </row>
    <row r="21" spans="1:12" x14ac:dyDescent="0.4">
      <c r="A21" s="145" t="s">
        <v>17</v>
      </c>
      <c r="B21" s="146"/>
      <c r="C21" s="145">
        <f>I64</f>
        <v>0</v>
      </c>
      <c r="D21" s="145">
        <v>3800</v>
      </c>
      <c r="E21" s="145">
        <f>D21*C21</f>
        <v>0</v>
      </c>
      <c r="F21" s="146"/>
      <c r="G21" s="119" t="s">
        <v>41</v>
      </c>
      <c r="H21" s="120"/>
      <c r="I21" s="156"/>
      <c r="J21" s="140"/>
      <c r="K21" s="140"/>
      <c r="L21" s="120"/>
    </row>
    <row r="22" spans="1:12" x14ac:dyDescent="0.4">
      <c r="A22" s="147"/>
      <c r="B22" s="148"/>
      <c r="C22" s="149"/>
      <c r="D22" s="149"/>
      <c r="E22" s="147"/>
      <c r="F22" s="148"/>
      <c r="G22" s="141"/>
      <c r="H22" s="144"/>
      <c r="I22" s="141"/>
      <c r="J22" s="142"/>
      <c r="K22" s="142"/>
      <c r="L22" s="144"/>
    </row>
    <row r="23" spans="1:12" x14ac:dyDescent="0.4">
      <c r="A23" s="119" t="s">
        <v>19</v>
      </c>
      <c r="B23" s="120"/>
      <c r="C23" s="119" t="s">
        <v>5</v>
      </c>
      <c r="D23" s="119" t="s">
        <v>6</v>
      </c>
      <c r="E23" s="119" t="s">
        <v>7</v>
      </c>
      <c r="F23" s="120"/>
      <c r="G23" s="119"/>
      <c r="H23" s="120"/>
      <c r="I23" s="156"/>
      <c r="J23" s="140"/>
      <c r="K23" s="140"/>
      <c r="L23" s="120"/>
    </row>
    <row r="24" spans="1:12" ht="17.25" customHeight="1" thickBot="1" x14ac:dyDescent="0.45">
      <c r="A24" s="121"/>
      <c r="B24" s="122"/>
      <c r="C24" s="150"/>
      <c r="D24" s="150"/>
      <c r="E24" s="141"/>
      <c r="F24" s="144"/>
      <c r="G24" s="121"/>
      <c r="H24" s="122"/>
      <c r="I24" s="121"/>
      <c r="J24" s="183"/>
      <c r="K24" s="183"/>
      <c r="L24" s="122"/>
    </row>
    <row r="25" spans="1:12" x14ac:dyDescent="0.4">
      <c r="A25" s="121"/>
      <c r="B25" s="122"/>
      <c r="C25" s="119">
        <f>F64</f>
        <v>0</v>
      </c>
      <c r="D25" s="139">
        <v>3000</v>
      </c>
      <c r="E25" s="139">
        <f>D25*C25</f>
        <v>0</v>
      </c>
      <c r="F25" s="140"/>
      <c r="G25" s="130" t="s">
        <v>20</v>
      </c>
      <c r="H25" s="131"/>
      <c r="I25" s="131"/>
      <c r="J25" s="131"/>
      <c r="K25" s="131"/>
      <c r="L25" s="132"/>
    </row>
    <row r="26" spans="1:12" x14ac:dyDescent="0.4">
      <c r="A26" s="141"/>
      <c r="B26" s="144"/>
      <c r="C26" s="150"/>
      <c r="D26" s="150"/>
      <c r="E26" s="141"/>
      <c r="F26" s="142"/>
      <c r="G26" s="133"/>
      <c r="H26" s="134"/>
      <c r="I26" s="134"/>
      <c r="J26" s="134"/>
      <c r="K26" s="134"/>
      <c r="L26" s="135"/>
    </row>
    <row r="27" spans="1:12" x14ac:dyDescent="0.4">
      <c r="A27" s="189" t="s">
        <v>21</v>
      </c>
      <c r="B27" s="151"/>
      <c r="C27" s="146"/>
      <c r="D27" s="145">
        <f>E11+E13+E15+E17+E19+E21-E25</f>
        <v>0</v>
      </c>
      <c r="E27" s="151"/>
      <c r="F27" s="151"/>
      <c r="G27" s="174">
        <f>I17+I19-I21</f>
        <v>0</v>
      </c>
      <c r="H27" s="175"/>
      <c r="I27" s="175"/>
      <c r="J27" s="175"/>
      <c r="K27" s="175"/>
      <c r="L27" s="176"/>
    </row>
    <row r="28" spans="1:12" x14ac:dyDescent="0.4">
      <c r="A28" s="152"/>
      <c r="B28" s="153"/>
      <c r="C28" s="166"/>
      <c r="D28" s="152"/>
      <c r="E28" s="153"/>
      <c r="F28" s="153"/>
      <c r="G28" s="177"/>
      <c r="H28" s="178"/>
      <c r="I28" s="178"/>
      <c r="J28" s="178"/>
      <c r="K28" s="178"/>
      <c r="L28" s="179"/>
    </row>
    <row r="29" spans="1:12" x14ac:dyDescent="0.4">
      <c r="A29" s="165" t="s">
        <v>22</v>
      </c>
      <c r="B29" s="153"/>
      <c r="C29" s="166"/>
      <c r="D29" s="152"/>
      <c r="E29" s="153"/>
      <c r="F29" s="153"/>
      <c r="G29" s="177"/>
      <c r="H29" s="178"/>
      <c r="I29" s="178"/>
      <c r="J29" s="178"/>
      <c r="K29" s="178"/>
      <c r="L29" s="179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180"/>
      <c r="H30" s="181"/>
      <c r="I30" s="181"/>
      <c r="J30" s="181"/>
      <c r="K30" s="181"/>
      <c r="L30" s="182"/>
    </row>
    <row r="31" spans="1:12" ht="17.649999999999999" x14ac:dyDescent="0.5">
      <c r="A31" s="155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38" t="s">
        <v>23</v>
      </c>
      <c r="B32" s="137"/>
      <c r="C32" s="72" t="s">
        <v>9</v>
      </c>
      <c r="D32" s="7" t="s">
        <v>11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13"/>
      <c r="K32" s="14"/>
      <c r="L32" s="5" t="s">
        <v>26</v>
      </c>
    </row>
    <row r="33" spans="1:12" x14ac:dyDescent="0.4">
      <c r="A33" s="136" t="e">
        <f>#REF!</f>
        <v>#REF!</v>
      </c>
      <c r="B33" s="137"/>
      <c r="C33" s="73"/>
      <c r="D33" s="15"/>
      <c r="E33" s="16"/>
      <c r="F33" s="17"/>
      <c r="G33" s="18"/>
      <c r="H33" s="19"/>
      <c r="I33" s="20"/>
      <c r="J33" s="21"/>
      <c r="K33" s="14"/>
      <c r="L33" s="22">
        <f t="shared" ref="L33:L63" si="0">I33*3800+H33*3000+G33*3000-F33*3000+E33*13000+D33*13000+C33*2000</f>
        <v>0</v>
      </c>
    </row>
    <row r="34" spans="1:12" x14ac:dyDescent="0.4">
      <c r="A34" s="136" t="e">
        <f>#REF!</f>
        <v>#REF!</v>
      </c>
      <c r="B34" s="137"/>
      <c r="C34" s="73"/>
      <c r="D34" s="15"/>
      <c r="E34" s="16"/>
      <c r="F34" s="17"/>
      <c r="G34" s="18"/>
      <c r="H34" s="19"/>
      <c r="I34" s="20"/>
      <c r="J34" s="14"/>
      <c r="K34" s="14"/>
      <c r="L34" s="22">
        <f t="shared" si="0"/>
        <v>0</v>
      </c>
    </row>
    <row r="35" spans="1:12" x14ac:dyDescent="0.4">
      <c r="A35" s="136" t="e">
        <f>#REF!</f>
        <v>#REF!</v>
      </c>
      <c r="B35" s="137"/>
      <c r="C35" s="73"/>
      <c r="D35" s="15"/>
      <c r="E35" s="16"/>
      <c r="F35" s="17"/>
      <c r="G35" s="18"/>
      <c r="H35" s="19"/>
      <c r="I35" s="20"/>
      <c r="J35" s="14"/>
      <c r="K35" s="14"/>
      <c r="L35" s="22">
        <f t="shared" si="0"/>
        <v>0</v>
      </c>
    </row>
    <row r="36" spans="1:12" x14ac:dyDescent="0.4">
      <c r="A36" s="136" t="e">
        <f>#REF!</f>
        <v>#REF!</v>
      </c>
      <c r="B36" s="137"/>
      <c r="C36" s="73"/>
      <c r="D36" s="15"/>
      <c r="E36" s="16"/>
      <c r="F36" s="17"/>
      <c r="G36" s="18"/>
      <c r="H36" s="19"/>
      <c r="I36" s="20"/>
      <c r="J36" s="14"/>
      <c r="K36" s="14"/>
      <c r="L36" s="22">
        <f t="shared" si="0"/>
        <v>0</v>
      </c>
    </row>
    <row r="37" spans="1:12" x14ac:dyDescent="0.4">
      <c r="A37" s="136" t="e">
        <f>#REF!</f>
        <v>#REF!</v>
      </c>
      <c r="B37" s="137"/>
      <c r="C37" s="73"/>
      <c r="D37" s="15"/>
      <c r="E37" s="16"/>
      <c r="F37" s="17"/>
      <c r="G37" s="18"/>
      <c r="H37" s="19"/>
      <c r="I37" s="20"/>
      <c r="J37" s="14"/>
      <c r="K37" s="14"/>
      <c r="L37" s="22">
        <f t="shared" si="0"/>
        <v>0</v>
      </c>
    </row>
    <row r="38" spans="1:12" x14ac:dyDescent="0.4">
      <c r="A38" s="136" t="e">
        <f>#REF!</f>
        <v>#REF!</v>
      </c>
      <c r="B38" s="137"/>
      <c r="C38" s="73"/>
      <c r="D38" s="15"/>
      <c r="E38" s="16"/>
      <c r="F38" s="17"/>
      <c r="G38" s="18"/>
      <c r="H38" s="19"/>
      <c r="I38" s="20"/>
      <c r="J38" s="14"/>
      <c r="K38" s="14"/>
      <c r="L38" s="22">
        <f t="shared" si="0"/>
        <v>0</v>
      </c>
    </row>
    <row r="39" spans="1:12" x14ac:dyDescent="0.4">
      <c r="A39" s="136" t="e">
        <f>#REF!</f>
        <v>#REF!</v>
      </c>
      <c r="B39" s="137"/>
      <c r="C39" s="73"/>
      <c r="D39" s="15"/>
      <c r="E39" s="16"/>
      <c r="F39" s="17"/>
      <c r="G39" s="18"/>
      <c r="H39" s="19"/>
      <c r="I39" s="20"/>
      <c r="J39" s="14"/>
      <c r="K39" s="14"/>
      <c r="L39" s="22">
        <f t="shared" si="0"/>
        <v>0</v>
      </c>
    </row>
    <row r="40" spans="1:12" x14ac:dyDescent="0.4">
      <c r="A40" s="136" t="e">
        <f>#REF!</f>
        <v>#REF!</v>
      </c>
      <c r="B40" s="137"/>
      <c r="C40" s="73"/>
      <c r="D40" s="15"/>
      <c r="E40" s="16"/>
      <c r="F40" s="17"/>
      <c r="G40" s="18"/>
      <c r="H40" s="19"/>
      <c r="I40" s="20"/>
      <c r="J40" s="14"/>
      <c r="K40" s="14"/>
      <c r="L40" s="22">
        <f t="shared" si="0"/>
        <v>0</v>
      </c>
    </row>
    <row r="41" spans="1:12" x14ac:dyDescent="0.4">
      <c r="A41" s="136" t="e">
        <f>#REF!</f>
        <v>#REF!</v>
      </c>
      <c r="B41" s="137"/>
      <c r="C41" s="73"/>
      <c r="D41" s="15"/>
      <c r="E41" s="16"/>
      <c r="F41" s="17"/>
      <c r="G41" s="18"/>
      <c r="H41" s="19"/>
      <c r="I41" s="20"/>
      <c r="J41" s="14"/>
      <c r="K41" s="14"/>
      <c r="L41" s="22">
        <f t="shared" si="0"/>
        <v>0</v>
      </c>
    </row>
    <row r="42" spans="1:12" x14ac:dyDescent="0.4">
      <c r="A42" s="136" t="e">
        <f>#REF!</f>
        <v>#REF!</v>
      </c>
      <c r="B42" s="137"/>
      <c r="C42" s="73"/>
      <c r="D42" s="15"/>
      <c r="E42" s="16"/>
      <c r="F42" s="17"/>
      <c r="G42" s="18"/>
      <c r="H42" s="19"/>
      <c r="I42" s="20"/>
      <c r="J42" s="14"/>
      <c r="K42" s="14"/>
      <c r="L42" s="22">
        <f t="shared" si="0"/>
        <v>0</v>
      </c>
    </row>
    <row r="43" spans="1:12" x14ac:dyDescent="0.4">
      <c r="A43" s="136" t="e">
        <f>#REF!</f>
        <v>#REF!</v>
      </c>
      <c r="B43" s="137"/>
      <c r="C43" s="73"/>
      <c r="D43" s="15"/>
      <c r="E43" s="16"/>
      <c r="F43" s="17"/>
      <c r="G43" s="18"/>
      <c r="H43" s="19"/>
      <c r="I43" s="20"/>
      <c r="J43" s="14"/>
      <c r="K43" s="14"/>
      <c r="L43" s="22">
        <f t="shared" si="0"/>
        <v>0</v>
      </c>
    </row>
    <row r="44" spans="1:12" x14ac:dyDescent="0.4">
      <c r="A44" s="136" t="e">
        <f>#REF!</f>
        <v>#REF!</v>
      </c>
      <c r="B44" s="137"/>
      <c r="C44" s="73"/>
      <c r="D44" s="15"/>
      <c r="E44" s="16"/>
      <c r="F44" s="17"/>
      <c r="G44" s="18"/>
      <c r="H44" s="19"/>
      <c r="I44" s="20"/>
      <c r="J44" s="14"/>
      <c r="K44" s="14"/>
      <c r="L44" s="22">
        <f t="shared" si="0"/>
        <v>0</v>
      </c>
    </row>
    <row r="45" spans="1:12" x14ac:dyDescent="0.4">
      <c r="A45" s="136" t="e">
        <f>#REF!</f>
        <v>#REF!</v>
      </c>
      <c r="B45" s="137"/>
      <c r="C45" s="73"/>
      <c r="D45" s="15"/>
      <c r="E45" s="16"/>
      <c r="F45" s="17"/>
      <c r="G45" s="18"/>
      <c r="H45" s="19"/>
      <c r="I45" s="20"/>
      <c r="J45" s="14"/>
      <c r="K45" s="14"/>
      <c r="L45" s="22">
        <f t="shared" si="0"/>
        <v>0</v>
      </c>
    </row>
    <row r="46" spans="1:12" x14ac:dyDescent="0.4">
      <c r="A46" s="136" t="e">
        <f>#REF!</f>
        <v>#REF!</v>
      </c>
      <c r="B46" s="137"/>
      <c r="C46" s="73"/>
      <c r="D46" s="15"/>
      <c r="E46" s="16"/>
      <c r="F46" s="17"/>
      <c r="G46" s="18"/>
      <c r="H46" s="19"/>
      <c r="I46" s="20"/>
      <c r="J46" s="14"/>
      <c r="K46" s="14"/>
      <c r="L46" s="22">
        <f t="shared" si="0"/>
        <v>0</v>
      </c>
    </row>
    <row r="47" spans="1:12" x14ac:dyDescent="0.4">
      <c r="A47" s="136" t="e">
        <f>#REF!</f>
        <v>#REF!</v>
      </c>
      <c r="B47" s="137"/>
      <c r="C47" s="73"/>
      <c r="D47" s="15"/>
      <c r="E47" s="16"/>
      <c r="F47" s="17"/>
      <c r="G47" s="18"/>
      <c r="H47" s="19"/>
      <c r="I47" s="20"/>
      <c r="J47" s="14"/>
      <c r="K47" s="14"/>
      <c r="L47" s="22">
        <f t="shared" si="0"/>
        <v>0</v>
      </c>
    </row>
    <row r="48" spans="1:12" x14ac:dyDescent="0.4">
      <c r="A48" s="136" t="e">
        <f>#REF!</f>
        <v>#REF!</v>
      </c>
      <c r="B48" s="137"/>
      <c r="C48" s="73"/>
      <c r="D48" s="15"/>
      <c r="E48" s="16"/>
      <c r="F48" s="17"/>
      <c r="G48" s="18"/>
      <c r="H48" s="19"/>
      <c r="I48" s="20"/>
      <c r="J48" s="21"/>
      <c r="K48" s="14"/>
      <c r="L48" s="22">
        <f t="shared" si="0"/>
        <v>0</v>
      </c>
    </row>
    <row r="49" spans="1:12" x14ac:dyDescent="0.4">
      <c r="A49" s="136" t="e">
        <f>#REF!</f>
        <v>#REF!</v>
      </c>
      <c r="B49" s="137"/>
      <c r="C49" s="73"/>
      <c r="D49" s="15"/>
      <c r="E49" s="16"/>
      <c r="F49" s="17"/>
      <c r="G49" s="18"/>
      <c r="H49" s="19"/>
      <c r="I49" s="20"/>
      <c r="J49" s="14"/>
      <c r="K49" s="14"/>
      <c r="L49" s="22">
        <f t="shared" si="0"/>
        <v>0</v>
      </c>
    </row>
    <row r="50" spans="1:12" x14ac:dyDescent="0.4">
      <c r="A50" s="136" t="e">
        <f>#REF!</f>
        <v>#REF!</v>
      </c>
      <c r="B50" s="137"/>
      <c r="C50" s="73"/>
      <c r="D50" s="15"/>
      <c r="E50" s="16"/>
      <c r="F50" s="17"/>
      <c r="G50" s="18"/>
      <c r="H50" s="19"/>
      <c r="I50" s="20"/>
      <c r="J50" s="14"/>
      <c r="K50" s="14"/>
      <c r="L50" s="22">
        <f t="shared" si="0"/>
        <v>0</v>
      </c>
    </row>
    <row r="51" spans="1:12" x14ac:dyDescent="0.4">
      <c r="A51" s="136" t="e">
        <f>#REF!</f>
        <v>#REF!</v>
      </c>
      <c r="B51" s="137"/>
      <c r="C51" s="73"/>
      <c r="D51" s="15"/>
      <c r="E51" s="16"/>
      <c r="F51" s="17"/>
      <c r="G51" s="18"/>
      <c r="H51" s="19"/>
      <c r="I51" s="20"/>
      <c r="J51" s="14"/>
      <c r="K51" s="14"/>
      <c r="L51" s="22">
        <f t="shared" si="0"/>
        <v>0</v>
      </c>
    </row>
    <row r="52" spans="1:12" x14ac:dyDescent="0.4">
      <c r="A52" s="136" t="e">
        <f>#REF!</f>
        <v>#REF!</v>
      </c>
      <c r="B52" s="137"/>
      <c r="C52" s="73"/>
      <c r="D52" s="15"/>
      <c r="E52" s="16"/>
      <c r="F52" s="17"/>
      <c r="G52" s="18"/>
      <c r="H52" s="19"/>
      <c r="I52" s="20"/>
      <c r="J52" s="14"/>
      <c r="K52" s="14"/>
      <c r="L52" s="22">
        <f t="shared" si="0"/>
        <v>0</v>
      </c>
    </row>
    <row r="53" spans="1:12" x14ac:dyDescent="0.4">
      <c r="A53" s="136" t="e">
        <f>#REF!</f>
        <v>#REF!</v>
      </c>
      <c r="B53" s="137"/>
      <c r="C53" s="73"/>
      <c r="D53" s="15"/>
      <c r="E53" s="16"/>
      <c r="F53" s="17"/>
      <c r="G53" s="18"/>
      <c r="H53" s="19"/>
      <c r="I53" s="20"/>
      <c r="J53" s="14"/>
      <c r="K53" s="14"/>
      <c r="L53" s="22">
        <f t="shared" si="0"/>
        <v>0</v>
      </c>
    </row>
    <row r="54" spans="1:12" x14ac:dyDescent="0.4">
      <c r="A54" s="136" t="e">
        <f>#REF!</f>
        <v>#REF!</v>
      </c>
      <c r="B54" s="137"/>
      <c r="C54" s="73"/>
      <c r="D54" s="15"/>
      <c r="E54" s="16"/>
      <c r="F54" s="17"/>
      <c r="G54" s="18"/>
      <c r="H54" s="19"/>
      <c r="I54" s="20"/>
      <c r="J54" s="14"/>
      <c r="K54" s="14"/>
      <c r="L54" s="22">
        <f t="shared" si="0"/>
        <v>0</v>
      </c>
    </row>
    <row r="55" spans="1:12" x14ac:dyDescent="0.4">
      <c r="A55" s="136" t="e">
        <f>#REF!</f>
        <v>#REF!</v>
      </c>
      <c r="B55" s="137"/>
      <c r="C55" s="73"/>
      <c r="D55" s="15"/>
      <c r="E55" s="16"/>
      <c r="F55" s="17"/>
      <c r="G55" s="18"/>
      <c r="H55" s="19"/>
      <c r="I55" s="20"/>
      <c r="J55" s="14"/>
      <c r="K55" s="14"/>
      <c r="L55" s="22">
        <f t="shared" si="0"/>
        <v>0</v>
      </c>
    </row>
    <row r="56" spans="1:12" x14ac:dyDescent="0.4">
      <c r="A56" s="136" t="e">
        <f>#REF!</f>
        <v>#REF!</v>
      </c>
      <c r="B56" s="137"/>
      <c r="C56" s="73"/>
      <c r="D56" s="15"/>
      <c r="E56" s="16"/>
      <c r="F56" s="17"/>
      <c r="G56" s="18"/>
      <c r="H56" s="19"/>
      <c r="I56" s="20"/>
      <c r="J56" s="14"/>
      <c r="K56" s="14"/>
      <c r="L56" s="22">
        <f t="shared" si="0"/>
        <v>0</v>
      </c>
    </row>
    <row r="57" spans="1:12" x14ac:dyDescent="0.4">
      <c r="A57" s="136" t="e">
        <f>#REF!</f>
        <v>#REF!</v>
      </c>
      <c r="B57" s="137"/>
      <c r="C57" s="73"/>
      <c r="D57" s="15"/>
      <c r="E57" s="16"/>
      <c r="F57" s="17"/>
      <c r="G57" s="18"/>
      <c r="H57" s="19"/>
      <c r="I57" s="20"/>
      <c r="J57" s="14"/>
      <c r="K57" s="14"/>
      <c r="L57" s="22">
        <f t="shared" si="0"/>
        <v>0</v>
      </c>
    </row>
    <row r="58" spans="1:12" x14ac:dyDescent="0.4">
      <c r="A58" s="136" t="e">
        <f>#REF!</f>
        <v>#REF!</v>
      </c>
      <c r="B58" s="137"/>
      <c r="C58" s="73"/>
      <c r="D58" s="15"/>
      <c r="E58" s="16"/>
      <c r="F58" s="17"/>
      <c r="G58" s="18"/>
      <c r="H58" s="19"/>
      <c r="I58" s="20"/>
      <c r="J58" s="21"/>
      <c r="K58" s="14"/>
      <c r="L58" s="22">
        <f t="shared" si="0"/>
        <v>0</v>
      </c>
    </row>
    <row r="59" spans="1:12" x14ac:dyDescent="0.4">
      <c r="A59" s="136" t="e">
        <f>#REF!</f>
        <v>#REF!</v>
      </c>
      <c r="B59" s="137"/>
      <c r="C59" s="73"/>
      <c r="D59" s="15"/>
      <c r="E59" s="16"/>
      <c r="F59" s="17"/>
      <c r="G59" s="18"/>
      <c r="H59" s="19"/>
      <c r="I59" s="20"/>
      <c r="J59" s="14"/>
      <c r="K59" s="14"/>
      <c r="L59" s="22">
        <f t="shared" si="0"/>
        <v>0</v>
      </c>
    </row>
    <row r="60" spans="1:12" x14ac:dyDescent="0.4">
      <c r="A60" s="136" t="e">
        <f>#REF!</f>
        <v>#REF!</v>
      </c>
      <c r="B60" s="137"/>
      <c r="C60" s="73"/>
      <c r="D60" s="15"/>
      <c r="E60" s="16"/>
      <c r="F60" s="17"/>
      <c r="G60" s="18"/>
      <c r="H60" s="19"/>
      <c r="I60" s="20"/>
      <c r="J60" s="14"/>
      <c r="K60" s="14"/>
      <c r="L60" s="22">
        <f t="shared" si="0"/>
        <v>0</v>
      </c>
    </row>
    <row r="61" spans="1:12" x14ac:dyDescent="0.4">
      <c r="A61" s="136" t="e">
        <f>#REF!</f>
        <v>#REF!</v>
      </c>
      <c r="B61" s="137"/>
      <c r="C61" s="73"/>
      <c r="D61" s="15"/>
      <c r="E61" s="16"/>
      <c r="F61" s="17"/>
      <c r="G61" s="18"/>
      <c r="H61" s="19"/>
      <c r="I61" s="20"/>
      <c r="J61" s="14"/>
      <c r="K61" s="14"/>
      <c r="L61" s="22">
        <f t="shared" si="0"/>
        <v>0</v>
      </c>
    </row>
    <row r="62" spans="1:12" x14ac:dyDescent="0.4">
      <c r="A62" s="136" t="e">
        <f>#REF!</f>
        <v>#REF!</v>
      </c>
      <c r="B62" s="137"/>
      <c r="C62" s="73"/>
      <c r="D62" s="15"/>
      <c r="E62" s="16"/>
      <c r="F62" s="17"/>
      <c r="G62" s="18"/>
      <c r="H62" s="19"/>
      <c r="I62" s="20"/>
      <c r="J62" s="14"/>
      <c r="K62" s="14"/>
      <c r="L62" s="22">
        <f t="shared" si="0"/>
        <v>0</v>
      </c>
    </row>
    <row r="63" spans="1:12" x14ac:dyDescent="0.4">
      <c r="A63" s="136" t="e">
        <f>#REF!</f>
        <v>#REF!</v>
      </c>
      <c r="B63" s="137"/>
      <c r="C63" s="73"/>
      <c r="D63" s="15"/>
      <c r="E63" s="16"/>
      <c r="F63" s="17"/>
      <c r="G63" s="18"/>
      <c r="H63" s="19"/>
      <c r="I63" s="20"/>
      <c r="J63" s="14"/>
      <c r="K63" s="14"/>
      <c r="L63" s="22">
        <f t="shared" si="0"/>
        <v>0</v>
      </c>
    </row>
    <row r="64" spans="1:12" x14ac:dyDescent="0.4">
      <c r="A64" s="143" t="s">
        <v>26</v>
      </c>
      <c r="B64" s="115"/>
      <c r="C64" s="97">
        <f t="shared" ref="C64:J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129">
        <f t="shared" si="1"/>
        <v>0</v>
      </c>
      <c r="K64" s="115"/>
      <c r="L64" s="98">
        <f>SUM(L33:L63)</f>
        <v>0</v>
      </c>
    </row>
    <row r="65" spans="1:12" x14ac:dyDescent="0.4">
      <c r="A65" s="123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 t="s">
        <v>42</v>
      </c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3">
    <mergeCell ref="E7:H8"/>
    <mergeCell ref="D9:D10"/>
    <mergeCell ref="C17:C18"/>
    <mergeCell ref="D25:D26"/>
    <mergeCell ref="A31:L31"/>
    <mergeCell ref="A27:C28"/>
    <mergeCell ref="A49:B49"/>
    <mergeCell ref="E11:F12"/>
    <mergeCell ref="A36:B36"/>
    <mergeCell ref="D13:D14"/>
    <mergeCell ref="A46:B46"/>
    <mergeCell ref="A37:B37"/>
    <mergeCell ref="A42:B42"/>
    <mergeCell ref="A39:B39"/>
    <mergeCell ref="A21:B22"/>
    <mergeCell ref="E13:F14"/>
    <mergeCell ref="G15:I16"/>
    <mergeCell ref="D11:D12"/>
    <mergeCell ref="A13:B14"/>
    <mergeCell ref="D23:D24"/>
    <mergeCell ref="G19:H20"/>
    <mergeCell ref="A7:D8"/>
    <mergeCell ref="C9:C10"/>
    <mergeCell ref="C11:C12"/>
    <mergeCell ref="A11:B12"/>
    <mergeCell ref="A34:B34"/>
    <mergeCell ref="A19:B20"/>
    <mergeCell ref="A3:L4"/>
    <mergeCell ref="C13:C14"/>
    <mergeCell ref="D19:D20"/>
    <mergeCell ref="A5:L6"/>
    <mergeCell ref="C15:C16"/>
    <mergeCell ref="A29:C30"/>
    <mergeCell ref="J9:L10"/>
    <mergeCell ref="I7:L8"/>
    <mergeCell ref="J11:L12"/>
    <mergeCell ref="G27:L30"/>
    <mergeCell ref="A33:B33"/>
    <mergeCell ref="I23:L24"/>
    <mergeCell ref="A9:B10"/>
    <mergeCell ref="G13:I14"/>
    <mergeCell ref="I19:L20"/>
    <mergeCell ref="J13:L14"/>
    <mergeCell ref="E21:F22"/>
    <mergeCell ref="C23:C24"/>
    <mergeCell ref="G21:H22"/>
    <mergeCell ref="D15:D16"/>
    <mergeCell ref="A15:B16"/>
    <mergeCell ref="D27:F30"/>
    <mergeCell ref="A47:B47"/>
    <mergeCell ref="A45:B45"/>
    <mergeCell ref="A44:B44"/>
    <mergeCell ref="E9:F10"/>
    <mergeCell ref="G9:I10"/>
    <mergeCell ref="G11:I12"/>
    <mergeCell ref="C21:C22"/>
    <mergeCell ref="I17:L18"/>
    <mergeCell ref="G17:H18"/>
    <mergeCell ref="J15:L16"/>
    <mergeCell ref="I21:L22"/>
    <mergeCell ref="A41:B41"/>
    <mergeCell ref="A55:B55"/>
    <mergeCell ref="A38:B38"/>
    <mergeCell ref="A43:B43"/>
    <mergeCell ref="E23:F24"/>
    <mergeCell ref="A40:B40"/>
    <mergeCell ref="A23:B26"/>
    <mergeCell ref="A17:B18"/>
    <mergeCell ref="A48:B48"/>
    <mergeCell ref="E15:F16"/>
    <mergeCell ref="D21:D22"/>
    <mergeCell ref="E19:F20"/>
    <mergeCell ref="D17:D18"/>
    <mergeCell ref="E17:F18"/>
    <mergeCell ref="C19:C20"/>
    <mergeCell ref="A52:B52"/>
    <mergeCell ref="C25:C26"/>
    <mergeCell ref="A54:B54"/>
    <mergeCell ref="A53:B53"/>
    <mergeCell ref="I69:L70"/>
    <mergeCell ref="G23:H24"/>
    <mergeCell ref="A65:L66"/>
    <mergeCell ref="A67:C68"/>
    <mergeCell ref="J64:K64"/>
    <mergeCell ref="G25:L26"/>
    <mergeCell ref="A59:B59"/>
    <mergeCell ref="A60:B60"/>
    <mergeCell ref="A32:B32"/>
    <mergeCell ref="E25:F26"/>
    <mergeCell ref="A50:B50"/>
    <mergeCell ref="A56:B56"/>
    <mergeCell ref="A35:B35"/>
    <mergeCell ref="A64:B64"/>
    <mergeCell ref="A51:B51"/>
    <mergeCell ref="A69:C70"/>
    <mergeCell ref="I67:L68"/>
    <mergeCell ref="A63:B63"/>
    <mergeCell ref="A58:B58"/>
    <mergeCell ref="A57:B57"/>
    <mergeCell ref="A61:B61"/>
    <mergeCell ref="D67:H68"/>
    <mergeCell ref="D69:H70"/>
    <mergeCell ref="A62:B62"/>
  </mergeCells>
  <phoneticPr fontId="1" type="noConversion"/>
  <pageMargins left="0.7" right="0.7" top="0.75" bottom="0.75" header="0.3" footer="0.3"/>
  <pageSetup paperSize="9" scale="7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69CB-7B7F-4B87-B12A-718834C448CA}">
  <dimension ref="A1:L70"/>
  <sheetViews>
    <sheetView zoomScale="40" zoomScaleNormal="40" workbookViewId="0">
      <selection activeCell="A7" sqref="A7:D8"/>
    </sheetView>
  </sheetViews>
  <sheetFormatPr defaultRowHeight="16.899999999999999" x14ac:dyDescent="0.6"/>
  <cols>
    <col min="1" max="3" width="9.0625" bestFit="1" customWidth="1"/>
    <col min="4" max="4" width="10.625" bestFit="1" customWidth="1"/>
    <col min="5" max="11" width="9.0625" bestFit="1" customWidth="1"/>
    <col min="12" max="12" width="9.5625" bestFit="1" customWidth="1"/>
  </cols>
  <sheetData>
    <row r="1" spans="1:12" ht="16.899999999999999" customHeight="1" x14ac:dyDescent="0.6">
      <c r="A1" s="70">
        <v>1</v>
      </c>
      <c r="B1" s="2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ht="16.899999999999999" customHeight="1" x14ac:dyDescent="0.6">
      <c r="A2" s="71">
        <v>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3" spans="1:12" ht="16.899999999999999" customHeight="1" x14ac:dyDescent="0.6">
      <c r="A3" s="160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ht="16.899999999999999" customHeight="1" x14ac:dyDescent="0.6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ht="16.899999999999999" customHeight="1" x14ac:dyDescent="0.6">
      <c r="A5" s="162" t="s">
        <v>221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ht="16.899999999999999" customHeight="1" x14ac:dyDescent="0.6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16.899999999999999" customHeight="1" x14ac:dyDescent="0.6">
      <c r="A7" s="123" t="s">
        <v>213</v>
      </c>
      <c r="B7" s="157"/>
      <c r="C7" s="157"/>
      <c r="D7" s="157"/>
      <c r="E7" s="184" t="s">
        <v>2</v>
      </c>
      <c r="F7" s="184"/>
      <c r="G7" s="184"/>
      <c r="H7" s="185"/>
      <c r="I7" s="168" t="s">
        <v>38</v>
      </c>
      <c r="J7" s="169"/>
      <c r="K7" s="169"/>
      <c r="L7" s="170"/>
    </row>
    <row r="8" spans="1:12" ht="16.899999999999999" customHeight="1" x14ac:dyDescent="0.6">
      <c r="A8" s="158"/>
      <c r="B8" s="159"/>
      <c r="C8" s="159"/>
      <c r="D8" s="159"/>
      <c r="E8" s="186"/>
      <c r="F8" s="186"/>
      <c r="G8" s="186"/>
      <c r="H8" s="187"/>
      <c r="I8" s="171"/>
      <c r="J8" s="172"/>
      <c r="K8" s="172"/>
      <c r="L8" s="173"/>
    </row>
    <row r="9" spans="1:12" ht="16.899999999999999" customHeight="1" x14ac:dyDescent="0.6">
      <c r="A9" s="155" t="s">
        <v>4</v>
      </c>
      <c r="B9" s="146"/>
      <c r="C9" s="155" t="s">
        <v>5</v>
      </c>
      <c r="D9" s="155" t="s">
        <v>6</v>
      </c>
      <c r="E9" s="155" t="s">
        <v>7</v>
      </c>
      <c r="F9" s="146"/>
      <c r="G9" s="155" t="s">
        <v>8</v>
      </c>
      <c r="H9" s="151"/>
      <c r="I9" s="146"/>
      <c r="J9" s="167">
        <f>D64+E64</f>
        <v>0</v>
      </c>
      <c r="K9" s="151"/>
      <c r="L9" s="146"/>
    </row>
    <row r="10" spans="1:12" ht="16.899999999999999" customHeight="1" x14ac:dyDescent="0.6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ht="16.899999999999999" customHeight="1" x14ac:dyDescent="0.6">
      <c r="A11" s="145" t="s">
        <v>39</v>
      </c>
      <c r="B11" s="146"/>
      <c r="C11" s="145">
        <f>C64</f>
        <v>0</v>
      </c>
      <c r="D11" s="145">
        <v>1800</v>
      </c>
      <c r="E11" s="145">
        <f>D11*C11</f>
        <v>0</v>
      </c>
      <c r="F11" s="146"/>
      <c r="G11" s="145" t="s">
        <v>10</v>
      </c>
      <c r="H11" s="151"/>
      <c r="I11" s="146"/>
      <c r="J11" s="167">
        <f>C25-J9</f>
        <v>0</v>
      </c>
      <c r="K11" s="151"/>
      <c r="L11" s="146"/>
    </row>
    <row r="12" spans="1:12" ht="16.899999999999999" customHeight="1" x14ac:dyDescent="0.6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ht="16.899999999999999" customHeight="1" x14ac:dyDescent="0.6">
      <c r="A13" s="145" t="s">
        <v>11</v>
      </c>
      <c r="B13" s="146"/>
      <c r="C13" s="145">
        <f>D64</f>
        <v>0</v>
      </c>
      <c r="D13" s="145">
        <v>11000</v>
      </c>
      <c r="E13" s="145">
        <f>D13*C13</f>
        <v>0</v>
      </c>
      <c r="F13" s="146"/>
      <c r="G13" s="145"/>
      <c r="H13" s="151"/>
      <c r="I13" s="146"/>
      <c r="J13" s="145"/>
      <c r="K13" s="151"/>
      <c r="L13" s="146"/>
    </row>
    <row r="14" spans="1:12" ht="16.899999999999999" customHeight="1" x14ac:dyDescent="0.6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ht="16.899999999999999" customHeight="1" x14ac:dyDescent="0.6">
      <c r="A15" s="145" t="s">
        <v>12</v>
      </c>
      <c r="B15" s="146"/>
      <c r="C15" s="145">
        <f>E64</f>
        <v>0</v>
      </c>
      <c r="D15" s="145">
        <v>13000</v>
      </c>
      <c r="E15" s="145">
        <f>D15*C15</f>
        <v>0</v>
      </c>
      <c r="F15" s="146"/>
      <c r="G15" s="145"/>
      <c r="H15" s="151"/>
      <c r="I15" s="146"/>
      <c r="J15" s="145"/>
      <c r="K15" s="151"/>
      <c r="L15" s="146"/>
    </row>
    <row r="16" spans="1:12" ht="16.899999999999999" customHeight="1" x14ac:dyDescent="0.6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ht="16.899999999999999" customHeight="1" x14ac:dyDescent="0.6">
      <c r="A17" s="145" t="s">
        <v>13</v>
      </c>
      <c r="B17" s="146"/>
      <c r="C17" s="145">
        <f>G64</f>
        <v>0</v>
      </c>
      <c r="D17" s="119">
        <v>4500</v>
      </c>
      <c r="E17" s="145">
        <f>D17*C17</f>
        <v>0</v>
      </c>
      <c r="F17" s="146"/>
      <c r="G17" s="119" t="s">
        <v>14</v>
      </c>
      <c r="H17" s="120"/>
      <c r="I17" s="156">
        <f>E11+E13+E15+E17+E19+E21-E25</f>
        <v>0</v>
      </c>
      <c r="J17" s="140"/>
      <c r="K17" s="140"/>
      <c r="L17" s="120"/>
    </row>
    <row r="18" spans="1:12" ht="16.899999999999999" customHeight="1" x14ac:dyDescent="0.6">
      <c r="A18" s="147"/>
      <c r="B18" s="148"/>
      <c r="C18" s="149"/>
      <c r="D18" s="150"/>
      <c r="E18" s="147"/>
      <c r="F18" s="148"/>
      <c r="G18" s="141"/>
      <c r="H18" s="144"/>
      <c r="I18" s="141"/>
      <c r="J18" s="142"/>
      <c r="K18" s="142"/>
      <c r="L18" s="144"/>
    </row>
    <row r="19" spans="1:12" ht="16.899999999999999" customHeight="1" x14ac:dyDescent="0.6">
      <c r="A19" s="145" t="s">
        <v>15</v>
      </c>
      <c r="B19" s="146"/>
      <c r="C19" s="145">
        <f>H64</f>
        <v>0</v>
      </c>
      <c r="D19" s="119">
        <v>5000</v>
      </c>
      <c r="E19" s="145">
        <f>D19*C19</f>
        <v>0</v>
      </c>
      <c r="F19" s="146"/>
      <c r="G19" s="119" t="s">
        <v>40</v>
      </c>
      <c r="H19" s="120"/>
      <c r="I19" s="156">
        <v>0</v>
      </c>
      <c r="J19" s="140"/>
      <c r="K19" s="140"/>
      <c r="L19" s="120"/>
    </row>
    <row r="20" spans="1:12" ht="17.25" customHeight="1" x14ac:dyDescent="0.6">
      <c r="A20" s="147"/>
      <c r="B20" s="148"/>
      <c r="C20" s="149"/>
      <c r="D20" s="150"/>
      <c r="E20" s="147"/>
      <c r="F20" s="148"/>
      <c r="G20" s="141"/>
      <c r="H20" s="144"/>
      <c r="I20" s="141"/>
      <c r="J20" s="142"/>
      <c r="K20" s="142"/>
      <c r="L20" s="144"/>
    </row>
    <row r="21" spans="1:12" ht="16.899999999999999" customHeight="1" x14ac:dyDescent="0.6">
      <c r="A21" s="145" t="s">
        <v>17</v>
      </c>
      <c r="B21" s="146"/>
      <c r="C21" s="145">
        <f>I64</f>
        <v>0</v>
      </c>
      <c r="D21" s="145">
        <v>5000</v>
      </c>
      <c r="E21" s="145">
        <f>D21*C21</f>
        <v>0</v>
      </c>
      <c r="F21" s="146"/>
      <c r="G21" s="119" t="s">
        <v>41</v>
      </c>
      <c r="H21" s="120"/>
      <c r="I21" s="156"/>
      <c r="J21" s="140"/>
      <c r="K21" s="140"/>
      <c r="L21" s="120"/>
    </row>
    <row r="22" spans="1:12" ht="16.899999999999999" customHeight="1" x14ac:dyDescent="0.6">
      <c r="A22" s="147"/>
      <c r="B22" s="148"/>
      <c r="C22" s="149"/>
      <c r="D22" s="149"/>
      <c r="E22" s="147"/>
      <c r="F22" s="148"/>
      <c r="G22" s="141"/>
      <c r="H22" s="144"/>
      <c r="I22" s="141"/>
      <c r="J22" s="142"/>
      <c r="K22" s="142"/>
      <c r="L22" s="144"/>
    </row>
    <row r="23" spans="1:12" ht="16.899999999999999" customHeight="1" x14ac:dyDescent="0.6">
      <c r="A23" s="119" t="s">
        <v>19</v>
      </c>
      <c r="B23" s="120"/>
      <c r="C23" s="119" t="s">
        <v>5</v>
      </c>
      <c r="D23" s="119" t="s">
        <v>6</v>
      </c>
      <c r="E23" s="119" t="s">
        <v>7</v>
      </c>
      <c r="F23" s="120"/>
      <c r="G23" s="119"/>
      <c r="H23" s="120"/>
      <c r="I23" s="156"/>
      <c r="J23" s="140"/>
      <c r="K23" s="140"/>
      <c r="L23" s="120"/>
    </row>
    <row r="24" spans="1:12" ht="16.899999999999999" customHeight="1" thickBot="1" x14ac:dyDescent="0.65">
      <c r="A24" s="121"/>
      <c r="B24" s="122"/>
      <c r="C24" s="150"/>
      <c r="D24" s="150"/>
      <c r="E24" s="141"/>
      <c r="F24" s="144"/>
      <c r="G24" s="121"/>
      <c r="H24" s="122"/>
      <c r="I24" s="121"/>
      <c r="J24" s="183"/>
      <c r="K24" s="183"/>
      <c r="L24" s="122"/>
    </row>
    <row r="25" spans="1:12" ht="16.899999999999999" customHeight="1" x14ac:dyDescent="0.6">
      <c r="A25" s="121"/>
      <c r="B25" s="122"/>
      <c r="C25" s="119">
        <f>F64</f>
        <v>0</v>
      </c>
      <c r="D25" s="139">
        <v>3000</v>
      </c>
      <c r="E25" s="139">
        <f>D25*C25</f>
        <v>0</v>
      </c>
      <c r="F25" s="140"/>
      <c r="G25" s="130" t="s">
        <v>20</v>
      </c>
      <c r="H25" s="131"/>
      <c r="I25" s="131"/>
      <c r="J25" s="131"/>
      <c r="K25" s="131"/>
      <c r="L25" s="132"/>
    </row>
    <row r="26" spans="1:12" ht="17.25" customHeight="1" x14ac:dyDescent="0.6">
      <c r="A26" s="141"/>
      <c r="B26" s="144"/>
      <c r="C26" s="150"/>
      <c r="D26" s="150"/>
      <c r="E26" s="141"/>
      <c r="F26" s="142"/>
      <c r="G26" s="133"/>
      <c r="H26" s="134"/>
      <c r="I26" s="134"/>
      <c r="J26" s="134"/>
      <c r="K26" s="134"/>
      <c r="L26" s="135"/>
    </row>
    <row r="27" spans="1:12" x14ac:dyDescent="0.6">
      <c r="A27" s="189" t="s">
        <v>21</v>
      </c>
      <c r="B27" s="151"/>
      <c r="C27" s="146"/>
      <c r="D27" s="145">
        <f>E11+E13+E15+E17+E19+E21-E25</f>
        <v>0</v>
      </c>
      <c r="E27" s="151"/>
      <c r="F27" s="151"/>
      <c r="G27" s="174">
        <f>I17+I19-I21</f>
        <v>0</v>
      </c>
      <c r="H27" s="175"/>
      <c r="I27" s="175"/>
      <c r="J27" s="175"/>
      <c r="K27" s="175"/>
      <c r="L27" s="176"/>
    </row>
    <row r="28" spans="1:12" x14ac:dyDescent="0.6">
      <c r="A28" s="152"/>
      <c r="B28" s="153"/>
      <c r="C28" s="166"/>
      <c r="D28" s="152"/>
      <c r="E28" s="153"/>
      <c r="F28" s="153"/>
      <c r="G28" s="177"/>
      <c r="H28" s="178"/>
      <c r="I28" s="178"/>
      <c r="J28" s="178"/>
      <c r="K28" s="178"/>
      <c r="L28" s="179"/>
    </row>
    <row r="29" spans="1:12" x14ac:dyDescent="0.6">
      <c r="A29" s="165" t="s">
        <v>22</v>
      </c>
      <c r="B29" s="153"/>
      <c r="C29" s="166"/>
      <c r="D29" s="152"/>
      <c r="E29" s="153"/>
      <c r="F29" s="153"/>
      <c r="G29" s="177"/>
      <c r="H29" s="178"/>
      <c r="I29" s="178"/>
      <c r="J29" s="178"/>
      <c r="K29" s="178"/>
      <c r="L29" s="179"/>
    </row>
    <row r="30" spans="1:12" ht="17.25" thickBot="1" x14ac:dyDescent="0.65">
      <c r="A30" s="147"/>
      <c r="B30" s="154"/>
      <c r="C30" s="148"/>
      <c r="D30" s="147"/>
      <c r="E30" s="154"/>
      <c r="F30" s="154"/>
      <c r="G30" s="180"/>
      <c r="H30" s="181"/>
      <c r="I30" s="181"/>
      <c r="J30" s="181"/>
      <c r="K30" s="181"/>
      <c r="L30" s="182"/>
    </row>
    <row r="31" spans="1:12" ht="18.399999999999999" x14ac:dyDescent="0.6">
      <c r="A31" s="155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6">
      <c r="A32" s="138" t="s">
        <v>23</v>
      </c>
      <c r="B32" s="137"/>
      <c r="C32" s="72" t="s">
        <v>9</v>
      </c>
      <c r="D32" s="7" t="s">
        <v>11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13"/>
      <c r="K32" s="14"/>
      <c r="L32" s="5" t="s">
        <v>26</v>
      </c>
    </row>
    <row r="33" spans="1:12" x14ac:dyDescent="0.6">
      <c r="A33" s="136" t="e">
        <f>#REF!</f>
        <v>#REF!</v>
      </c>
      <c r="B33" s="137"/>
      <c r="C33" s="73"/>
      <c r="D33" s="15"/>
      <c r="E33" s="16"/>
      <c r="F33" s="17"/>
      <c r="G33" s="18"/>
      <c r="H33" s="19"/>
      <c r="I33" s="20"/>
      <c r="J33" s="21"/>
      <c r="K33" s="14"/>
      <c r="L33" s="22">
        <f t="shared" ref="L33:L63" si="0">I33*5000+H33*5000+G33*4500-F33*3000+E33*13000+D33*11000+C33*1800</f>
        <v>0</v>
      </c>
    </row>
    <row r="34" spans="1:12" x14ac:dyDescent="0.6">
      <c r="A34" s="136" t="e">
        <f>#REF!</f>
        <v>#REF!</v>
      </c>
      <c r="B34" s="137"/>
      <c r="C34" s="73"/>
      <c r="D34" s="15"/>
      <c r="E34" s="16"/>
      <c r="F34" s="17"/>
      <c r="G34" s="18"/>
      <c r="H34" s="19"/>
      <c r="I34" s="20"/>
      <c r="J34" s="14"/>
      <c r="K34" s="14"/>
      <c r="L34" s="22">
        <f t="shared" si="0"/>
        <v>0</v>
      </c>
    </row>
    <row r="35" spans="1:12" x14ac:dyDescent="0.6">
      <c r="A35" s="136" t="e">
        <f>#REF!</f>
        <v>#REF!</v>
      </c>
      <c r="B35" s="137"/>
      <c r="C35" s="73"/>
      <c r="D35" s="15"/>
      <c r="E35" s="16"/>
      <c r="F35" s="17"/>
      <c r="G35" s="18"/>
      <c r="H35" s="19"/>
      <c r="I35" s="20"/>
      <c r="J35" s="14"/>
      <c r="K35" s="14"/>
      <c r="L35" s="22">
        <f t="shared" si="0"/>
        <v>0</v>
      </c>
    </row>
    <row r="36" spans="1:12" x14ac:dyDescent="0.6">
      <c r="A36" s="136" t="e">
        <f>#REF!</f>
        <v>#REF!</v>
      </c>
      <c r="B36" s="137"/>
      <c r="C36" s="73"/>
      <c r="D36" s="15"/>
      <c r="E36" s="16"/>
      <c r="F36" s="17"/>
      <c r="G36" s="18"/>
      <c r="H36" s="19"/>
      <c r="I36" s="20"/>
      <c r="J36" s="14"/>
      <c r="K36" s="14"/>
      <c r="L36" s="22">
        <f t="shared" si="0"/>
        <v>0</v>
      </c>
    </row>
    <row r="37" spans="1:12" x14ac:dyDescent="0.6">
      <c r="A37" s="136" t="e">
        <f>#REF!</f>
        <v>#REF!</v>
      </c>
      <c r="B37" s="137"/>
      <c r="C37" s="73"/>
      <c r="D37" s="15"/>
      <c r="E37" s="16"/>
      <c r="F37" s="17"/>
      <c r="G37" s="18"/>
      <c r="H37" s="19"/>
      <c r="I37" s="20"/>
      <c r="J37" s="14"/>
      <c r="K37" s="14"/>
      <c r="L37" s="22">
        <f t="shared" si="0"/>
        <v>0</v>
      </c>
    </row>
    <row r="38" spans="1:12" x14ac:dyDescent="0.6">
      <c r="A38" s="136" t="e">
        <f>#REF!</f>
        <v>#REF!</v>
      </c>
      <c r="B38" s="137"/>
      <c r="C38" s="73"/>
      <c r="D38" s="15"/>
      <c r="E38" s="16"/>
      <c r="F38" s="17"/>
      <c r="G38" s="18"/>
      <c r="H38" s="19"/>
      <c r="I38" s="20"/>
      <c r="J38" s="14"/>
      <c r="K38" s="14"/>
      <c r="L38" s="22">
        <f t="shared" si="0"/>
        <v>0</v>
      </c>
    </row>
    <row r="39" spans="1:12" x14ac:dyDescent="0.6">
      <c r="A39" s="136" t="e">
        <f>#REF!</f>
        <v>#REF!</v>
      </c>
      <c r="B39" s="137"/>
      <c r="C39" s="73"/>
      <c r="D39" s="15"/>
      <c r="E39" s="16"/>
      <c r="F39" s="17"/>
      <c r="G39" s="18"/>
      <c r="H39" s="19"/>
      <c r="I39" s="20"/>
      <c r="J39" s="14"/>
      <c r="K39" s="14"/>
      <c r="L39" s="22">
        <f t="shared" si="0"/>
        <v>0</v>
      </c>
    </row>
    <row r="40" spans="1:12" x14ac:dyDescent="0.6">
      <c r="A40" s="136" t="e">
        <f>#REF!</f>
        <v>#REF!</v>
      </c>
      <c r="B40" s="137"/>
      <c r="C40" s="73"/>
      <c r="D40" s="15"/>
      <c r="E40" s="16"/>
      <c r="F40" s="17"/>
      <c r="G40" s="18"/>
      <c r="H40" s="19"/>
      <c r="I40" s="20"/>
      <c r="J40" s="14"/>
      <c r="K40" s="14"/>
      <c r="L40" s="22">
        <f t="shared" si="0"/>
        <v>0</v>
      </c>
    </row>
    <row r="41" spans="1:12" x14ac:dyDescent="0.6">
      <c r="A41" s="136" t="e">
        <f>#REF!</f>
        <v>#REF!</v>
      </c>
      <c r="B41" s="137"/>
      <c r="C41" s="73"/>
      <c r="D41" s="15"/>
      <c r="E41" s="16"/>
      <c r="F41" s="17"/>
      <c r="G41" s="18"/>
      <c r="H41" s="19"/>
      <c r="I41" s="20"/>
      <c r="J41" s="14"/>
      <c r="K41" s="14"/>
      <c r="L41" s="22">
        <f t="shared" si="0"/>
        <v>0</v>
      </c>
    </row>
    <row r="42" spans="1:12" x14ac:dyDescent="0.6">
      <c r="A42" s="136" t="e">
        <f>#REF!</f>
        <v>#REF!</v>
      </c>
      <c r="B42" s="137"/>
      <c r="C42" s="73"/>
      <c r="D42" s="15"/>
      <c r="E42" s="16"/>
      <c r="F42" s="17"/>
      <c r="G42" s="18"/>
      <c r="H42" s="19"/>
      <c r="I42" s="20"/>
      <c r="J42" s="14"/>
      <c r="K42" s="14"/>
      <c r="L42" s="22">
        <f t="shared" si="0"/>
        <v>0</v>
      </c>
    </row>
    <row r="43" spans="1:12" x14ac:dyDescent="0.6">
      <c r="A43" s="136" t="e">
        <f>#REF!</f>
        <v>#REF!</v>
      </c>
      <c r="B43" s="137"/>
      <c r="C43" s="73"/>
      <c r="D43" s="15"/>
      <c r="E43" s="16"/>
      <c r="F43" s="17"/>
      <c r="G43" s="18"/>
      <c r="H43" s="19"/>
      <c r="I43" s="20"/>
      <c r="J43" s="14"/>
      <c r="K43" s="14"/>
      <c r="L43" s="22">
        <f t="shared" si="0"/>
        <v>0</v>
      </c>
    </row>
    <row r="44" spans="1:12" x14ac:dyDescent="0.6">
      <c r="A44" s="136" t="e">
        <f>#REF!</f>
        <v>#REF!</v>
      </c>
      <c r="B44" s="137"/>
      <c r="C44" s="73"/>
      <c r="D44" s="15"/>
      <c r="E44" s="16"/>
      <c r="F44" s="17"/>
      <c r="G44" s="18"/>
      <c r="H44" s="19"/>
      <c r="I44" s="20"/>
      <c r="J44" s="14"/>
      <c r="K44" s="14"/>
      <c r="L44" s="22">
        <f t="shared" si="0"/>
        <v>0</v>
      </c>
    </row>
    <row r="45" spans="1:12" x14ac:dyDescent="0.6">
      <c r="A45" s="136" t="e">
        <f>#REF!</f>
        <v>#REF!</v>
      </c>
      <c r="B45" s="137"/>
      <c r="C45" s="73"/>
      <c r="D45" s="15"/>
      <c r="E45" s="16"/>
      <c r="F45" s="17"/>
      <c r="G45" s="18"/>
      <c r="H45" s="19"/>
      <c r="I45" s="20"/>
      <c r="J45" s="14"/>
      <c r="K45" s="14"/>
      <c r="L45" s="22">
        <f t="shared" si="0"/>
        <v>0</v>
      </c>
    </row>
    <row r="46" spans="1:12" x14ac:dyDescent="0.6">
      <c r="A46" s="136" t="e">
        <f>#REF!</f>
        <v>#REF!</v>
      </c>
      <c r="B46" s="137"/>
      <c r="C46" s="73"/>
      <c r="D46" s="15"/>
      <c r="E46" s="16"/>
      <c r="F46" s="17"/>
      <c r="G46" s="18"/>
      <c r="H46" s="19"/>
      <c r="I46" s="20"/>
      <c r="J46" s="14"/>
      <c r="K46" s="14"/>
      <c r="L46" s="22">
        <f t="shared" si="0"/>
        <v>0</v>
      </c>
    </row>
    <row r="47" spans="1:12" x14ac:dyDescent="0.6">
      <c r="A47" s="136" t="e">
        <f>#REF!</f>
        <v>#REF!</v>
      </c>
      <c r="B47" s="137"/>
      <c r="C47" s="73"/>
      <c r="D47" s="15"/>
      <c r="E47" s="16"/>
      <c r="F47" s="17"/>
      <c r="G47" s="18"/>
      <c r="H47" s="19"/>
      <c r="I47" s="20"/>
      <c r="J47" s="14"/>
      <c r="K47" s="14"/>
      <c r="L47" s="22">
        <f t="shared" si="0"/>
        <v>0</v>
      </c>
    </row>
    <row r="48" spans="1:12" x14ac:dyDescent="0.6">
      <c r="A48" s="136" t="e">
        <f>#REF!</f>
        <v>#REF!</v>
      </c>
      <c r="B48" s="137"/>
      <c r="C48" s="73"/>
      <c r="D48" s="15"/>
      <c r="E48" s="16"/>
      <c r="F48" s="17"/>
      <c r="G48" s="18"/>
      <c r="H48" s="19"/>
      <c r="I48" s="20"/>
      <c r="J48" s="21"/>
      <c r="K48" s="14"/>
      <c r="L48" s="22">
        <f t="shared" si="0"/>
        <v>0</v>
      </c>
    </row>
    <row r="49" spans="1:12" x14ac:dyDescent="0.6">
      <c r="A49" s="136" t="e">
        <f>#REF!</f>
        <v>#REF!</v>
      </c>
      <c r="B49" s="137"/>
      <c r="C49" s="73"/>
      <c r="D49" s="15"/>
      <c r="E49" s="16"/>
      <c r="F49" s="17"/>
      <c r="G49" s="18"/>
      <c r="H49" s="19"/>
      <c r="I49" s="20"/>
      <c r="J49" s="14"/>
      <c r="K49" s="14"/>
      <c r="L49" s="22">
        <f t="shared" si="0"/>
        <v>0</v>
      </c>
    </row>
    <row r="50" spans="1:12" x14ac:dyDescent="0.6">
      <c r="A50" s="136" t="e">
        <f>#REF!</f>
        <v>#REF!</v>
      </c>
      <c r="B50" s="137"/>
      <c r="C50" s="73"/>
      <c r="D50" s="15"/>
      <c r="E50" s="16"/>
      <c r="F50" s="17"/>
      <c r="G50" s="18"/>
      <c r="H50" s="19"/>
      <c r="I50" s="20"/>
      <c r="J50" s="14"/>
      <c r="K50" s="14"/>
      <c r="L50" s="22">
        <f t="shared" si="0"/>
        <v>0</v>
      </c>
    </row>
    <row r="51" spans="1:12" x14ac:dyDescent="0.6">
      <c r="A51" s="136" t="e">
        <f>#REF!</f>
        <v>#REF!</v>
      </c>
      <c r="B51" s="137"/>
      <c r="C51" s="73"/>
      <c r="D51" s="15"/>
      <c r="E51" s="16"/>
      <c r="F51" s="17"/>
      <c r="G51" s="18"/>
      <c r="H51" s="19"/>
      <c r="I51" s="20"/>
      <c r="J51" s="14"/>
      <c r="K51" s="14"/>
      <c r="L51" s="22">
        <f t="shared" si="0"/>
        <v>0</v>
      </c>
    </row>
    <row r="52" spans="1:12" x14ac:dyDescent="0.6">
      <c r="A52" s="136" t="e">
        <f>#REF!</f>
        <v>#REF!</v>
      </c>
      <c r="B52" s="137"/>
      <c r="C52" s="73"/>
      <c r="D52" s="15"/>
      <c r="E52" s="16"/>
      <c r="F52" s="17"/>
      <c r="G52" s="18"/>
      <c r="H52" s="19"/>
      <c r="I52" s="20"/>
      <c r="J52" s="14"/>
      <c r="K52" s="14"/>
      <c r="L52" s="22">
        <f t="shared" si="0"/>
        <v>0</v>
      </c>
    </row>
    <row r="53" spans="1:12" x14ac:dyDescent="0.6">
      <c r="A53" s="136" t="e">
        <f>#REF!</f>
        <v>#REF!</v>
      </c>
      <c r="B53" s="137"/>
      <c r="C53" s="73"/>
      <c r="D53" s="15"/>
      <c r="E53" s="16"/>
      <c r="F53" s="17"/>
      <c r="G53" s="18"/>
      <c r="H53" s="19"/>
      <c r="I53" s="20"/>
      <c r="J53" s="14"/>
      <c r="K53" s="14"/>
      <c r="L53" s="22">
        <f t="shared" si="0"/>
        <v>0</v>
      </c>
    </row>
    <row r="54" spans="1:12" x14ac:dyDescent="0.6">
      <c r="A54" s="136" t="e">
        <f>#REF!</f>
        <v>#REF!</v>
      </c>
      <c r="B54" s="137"/>
      <c r="C54" s="73"/>
      <c r="D54" s="15"/>
      <c r="E54" s="16"/>
      <c r="F54" s="17"/>
      <c r="G54" s="18"/>
      <c r="H54" s="19"/>
      <c r="I54" s="20"/>
      <c r="J54" s="14"/>
      <c r="K54" s="14"/>
      <c r="L54" s="22">
        <f t="shared" si="0"/>
        <v>0</v>
      </c>
    </row>
    <row r="55" spans="1:12" x14ac:dyDescent="0.6">
      <c r="A55" s="136" t="e">
        <f>#REF!</f>
        <v>#REF!</v>
      </c>
      <c r="B55" s="137"/>
      <c r="C55" s="73"/>
      <c r="D55" s="15"/>
      <c r="E55" s="16"/>
      <c r="F55" s="17"/>
      <c r="G55" s="18"/>
      <c r="H55" s="19"/>
      <c r="I55" s="20"/>
      <c r="J55" s="14"/>
      <c r="K55" s="14"/>
      <c r="L55" s="22">
        <f t="shared" si="0"/>
        <v>0</v>
      </c>
    </row>
    <row r="56" spans="1:12" x14ac:dyDescent="0.6">
      <c r="A56" s="136" t="e">
        <f>#REF!</f>
        <v>#REF!</v>
      </c>
      <c r="B56" s="137"/>
      <c r="C56" s="73"/>
      <c r="D56" s="15"/>
      <c r="E56" s="16"/>
      <c r="F56" s="17"/>
      <c r="G56" s="18"/>
      <c r="H56" s="19"/>
      <c r="I56" s="20"/>
      <c r="J56" s="14"/>
      <c r="K56" s="14"/>
      <c r="L56" s="22">
        <f t="shared" si="0"/>
        <v>0</v>
      </c>
    </row>
    <row r="57" spans="1:12" x14ac:dyDescent="0.6">
      <c r="A57" s="136" t="e">
        <f>#REF!</f>
        <v>#REF!</v>
      </c>
      <c r="B57" s="137"/>
      <c r="C57" s="73"/>
      <c r="D57" s="15"/>
      <c r="E57" s="16"/>
      <c r="F57" s="17"/>
      <c r="G57" s="18"/>
      <c r="H57" s="19"/>
      <c r="I57" s="20"/>
      <c r="J57" s="14"/>
      <c r="K57" s="14"/>
      <c r="L57" s="22">
        <f t="shared" si="0"/>
        <v>0</v>
      </c>
    </row>
    <row r="58" spans="1:12" x14ac:dyDescent="0.6">
      <c r="A58" s="136" t="e">
        <f>#REF!</f>
        <v>#REF!</v>
      </c>
      <c r="B58" s="137"/>
      <c r="C58" s="73"/>
      <c r="D58" s="15"/>
      <c r="E58" s="16"/>
      <c r="F58" s="17"/>
      <c r="G58" s="18"/>
      <c r="H58" s="19"/>
      <c r="I58" s="20"/>
      <c r="J58" s="21"/>
      <c r="K58" s="14"/>
      <c r="L58" s="22">
        <f t="shared" si="0"/>
        <v>0</v>
      </c>
    </row>
    <row r="59" spans="1:12" x14ac:dyDescent="0.6">
      <c r="A59" s="136" t="e">
        <f>#REF!</f>
        <v>#REF!</v>
      </c>
      <c r="B59" s="137"/>
      <c r="C59" s="73"/>
      <c r="D59" s="15"/>
      <c r="E59" s="16"/>
      <c r="F59" s="17"/>
      <c r="G59" s="18"/>
      <c r="H59" s="19"/>
      <c r="I59" s="20"/>
      <c r="J59" s="14"/>
      <c r="K59" s="14"/>
      <c r="L59" s="22">
        <f t="shared" si="0"/>
        <v>0</v>
      </c>
    </row>
    <row r="60" spans="1:12" x14ac:dyDescent="0.6">
      <c r="A60" s="136" t="e">
        <f>#REF!</f>
        <v>#REF!</v>
      </c>
      <c r="B60" s="137"/>
      <c r="C60" s="73"/>
      <c r="D60" s="15"/>
      <c r="E60" s="16"/>
      <c r="F60" s="17"/>
      <c r="G60" s="18"/>
      <c r="H60" s="19"/>
      <c r="I60" s="20"/>
      <c r="J60" s="14"/>
      <c r="K60" s="14"/>
      <c r="L60" s="22">
        <f t="shared" si="0"/>
        <v>0</v>
      </c>
    </row>
    <row r="61" spans="1:12" ht="16.899999999999999" customHeight="1" x14ac:dyDescent="0.6">
      <c r="A61" s="136" t="e">
        <f>#REF!</f>
        <v>#REF!</v>
      </c>
      <c r="B61" s="137"/>
      <c r="C61" s="73"/>
      <c r="D61" s="15"/>
      <c r="E61" s="16"/>
      <c r="F61" s="17"/>
      <c r="G61" s="18"/>
      <c r="H61" s="19"/>
      <c r="I61" s="20"/>
      <c r="J61" s="14"/>
      <c r="K61" s="14"/>
      <c r="L61" s="22">
        <f t="shared" si="0"/>
        <v>0</v>
      </c>
    </row>
    <row r="62" spans="1:12" ht="16.899999999999999" customHeight="1" x14ac:dyDescent="0.6">
      <c r="A62" s="136" t="e">
        <f>#REF!</f>
        <v>#REF!</v>
      </c>
      <c r="B62" s="137"/>
      <c r="C62" s="73"/>
      <c r="D62" s="15"/>
      <c r="E62" s="16"/>
      <c r="F62" s="17"/>
      <c r="G62" s="18"/>
      <c r="H62" s="19"/>
      <c r="I62" s="20"/>
      <c r="J62" s="14"/>
      <c r="K62" s="14"/>
      <c r="L62" s="22">
        <f t="shared" si="0"/>
        <v>0</v>
      </c>
    </row>
    <row r="63" spans="1:12" x14ac:dyDescent="0.6">
      <c r="A63" s="136" t="e">
        <f>#REF!</f>
        <v>#REF!</v>
      </c>
      <c r="B63" s="137"/>
      <c r="C63" s="73"/>
      <c r="D63" s="15"/>
      <c r="E63" s="16"/>
      <c r="F63" s="17"/>
      <c r="G63" s="18"/>
      <c r="H63" s="19"/>
      <c r="I63" s="20"/>
      <c r="J63" s="14"/>
      <c r="K63" s="14"/>
      <c r="L63" s="22">
        <f t="shared" si="0"/>
        <v>0</v>
      </c>
    </row>
    <row r="64" spans="1:12" x14ac:dyDescent="0.6">
      <c r="A64" s="143" t="s">
        <v>26</v>
      </c>
      <c r="B64" s="115"/>
      <c r="C64" s="97">
        <f t="shared" ref="C64:J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129">
        <f t="shared" si="1"/>
        <v>0</v>
      </c>
      <c r="K64" s="115"/>
      <c r="L64" s="98">
        <f>SUM(L33:L63)</f>
        <v>0</v>
      </c>
    </row>
    <row r="65" spans="1:12" x14ac:dyDescent="0.6">
      <c r="A65" s="123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6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6">
      <c r="A67" s="113" t="s">
        <v>28</v>
      </c>
      <c r="B67" s="114"/>
      <c r="C67" s="115"/>
      <c r="D67" s="113" t="s">
        <v>228</v>
      </c>
      <c r="E67" s="114"/>
      <c r="F67" s="114"/>
      <c r="G67" s="114"/>
      <c r="H67" s="115"/>
      <c r="I67" s="113" t="s">
        <v>229</v>
      </c>
      <c r="J67" s="114"/>
      <c r="K67" s="114"/>
      <c r="L67" s="115"/>
    </row>
    <row r="68" spans="1:12" x14ac:dyDescent="0.6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6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6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3">
    <mergeCell ref="A9:B10"/>
    <mergeCell ref="C9:C10"/>
    <mergeCell ref="D9:D10"/>
    <mergeCell ref="E9:F10"/>
    <mergeCell ref="G9:I10"/>
    <mergeCell ref="J9:L10"/>
    <mergeCell ref="A13:B14"/>
    <mergeCell ref="C13:C14"/>
    <mergeCell ref="D13:D14"/>
    <mergeCell ref="E13:F14"/>
    <mergeCell ref="J13:L14"/>
    <mergeCell ref="A11:B12"/>
    <mergeCell ref="C11:C12"/>
    <mergeCell ref="D11:D12"/>
    <mergeCell ref="E11:F12"/>
    <mergeCell ref="G11:I12"/>
    <mergeCell ref="J11:L12"/>
    <mergeCell ref="A17:B18"/>
    <mergeCell ref="C17:C18"/>
    <mergeCell ref="D17:D18"/>
    <mergeCell ref="E17:F18"/>
    <mergeCell ref="G17:H18"/>
    <mergeCell ref="I17:L18"/>
    <mergeCell ref="A15:B16"/>
    <mergeCell ref="C15:C16"/>
    <mergeCell ref="D15:D16"/>
    <mergeCell ref="E15:F16"/>
    <mergeCell ref="G15:I16"/>
    <mergeCell ref="J15:L16"/>
    <mergeCell ref="A32:B32"/>
    <mergeCell ref="A33:B33"/>
    <mergeCell ref="A34:B34"/>
    <mergeCell ref="C25:C26"/>
    <mergeCell ref="D25:D26"/>
    <mergeCell ref="E25:F26"/>
    <mergeCell ref="G25:L26"/>
    <mergeCell ref="C19:C20"/>
    <mergeCell ref="D19:D20"/>
    <mergeCell ref="E19:F20"/>
    <mergeCell ref="G19:H20"/>
    <mergeCell ref="I19:L20"/>
    <mergeCell ref="C21:C22"/>
    <mergeCell ref="D21:D22"/>
    <mergeCell ref="E21:F22"/>
    <mergeCell ref="A3:L4"/>
    <mergeCell ref="A5:L6"/>
    <mergeCell ref="A7:D8"/>
    <mergeCell ref="E7:H8"/>
    <mergeCell ref="I7:L8"/>
    <mergeCell ref="G13:I14"/>
    <mergeCell ref="A53:B53"/>
    <mergeCell ref="A54:B54"/>
    <mergeCell ref="A55:B55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27:C28"/>
    <mergeCell ref="D27:F30"/>
    <mergeCell ref="G27:L30"/>
    <mergeCell ref="A29:C30"/>
    <mergeCell ref="A31:L31"/>
    <mergeCell ref="A61:B61"/>
    <mergeCell ref="A19:B20"/>
    <mergeCell ref="A21:B22"/>
    <mergeCell ref="G21:H22"/>
    <mergeCell ref="I21:L22"/>
    <mergeCell ref="A23:B26"/>
    <mergeCell ref="C23:C24"/>
    <mergeCell ref="D23:D24"/>
    <mergeCell ref="E23:F24"/>
    <mergeCell ref="G23:H24"/>
    <mergeCell ref="I23:L24"/>
    <mergeCell ref="A59:B59"/>
    <mergeCell ref="A60:B60"/>
    <mergeCell ref="A56:B56"/>
    <mergeCell ref="A57:B57"/>
    <mergeCell ref="A58:B58"/>
    <mergeCell ref="A38:B38"/>
    <mergeCell ref="A39:B39"/>
    <mergeCell ref="A40:B40"/>
    <mergeCell ref="A69:C70"/>
    <mergeCell ref="D69:H70"/>
    <mergeCell ref="I69:L70"/>
    <mergeCell ref="A62:B62"/>
    <mergeCell ref="A63:B63"/>
    <mergeCell ref="A64:B64"/>
    <mergeCell ref="J64:K64"/>
    <mergeCell ref="A65:L66"/>
    <mergeCell ref="A67:C68"/>
    <mergeCell ref="D67:H68"/>
    <mergeCell ref="I67:L68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E4881-E841-4979-AD43-F2A03C799785}">
  <dimension ref="A1:L70"/>
  <sheetViews>
    <sheetView zoomScale="55" zoomScaleNormal="55" workbookViewId="0">
      <selection activeCell="A7" sqref="A7:D8"/>
    </sheetView>
  </sheetViews>
  <sheetFormatPr defaultRowHeight="16.899999999999999" x14ac:dyDescent="0.6"/>
  <cols>
    <col min="1" max="3" width="9.0625" bestFit="1" customWidth="1"/>
    <col min="4" max="4" width="10.625" bestFit="1" customWidth="1"/>
    <col min="5" max="11" width="9.0625" bestFit="1" customWidth="1"/>
    <col min="12" max="12" width="9.5625" bestFit="1" customWidth="1"/>
  </cols>
  <sheetData>
    <row r="1" spans="1:12" x14ac:dyDescent="0.6">
      <c r="A1" s="70">
        <v>1</v>
      </c>
      <c r="B1" s="2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6">
      <c r="A2" s="71">
        <v>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3" spans="1:12" x14ac:dyDescent="0.6">
      <c r="A3" s="160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6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6">
      <c r="A5" s="162" t="s">
        <v>223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6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x14ac:dyDescent="0.6">
      <c r="A7" s="123" t="s">
        <v>213</v>
      </c>
      <c r="B7" s="157"/>
      <c r="C7" s="157"/>
      <c r="D7" s="157"/>
      <c r="E7" s="184" t="s">
        <v>2</v>
      </c>
      <c r="F7" s="184"/>
      <c r="G7" s="184"/>
      <c r="H7" s="185"/>
      <c r="I7" s="168" t="s">
        <v>38</v>
      </c>
      <c r="J7" s="169"/>
      <c r="K7" s="169"/>
      <c r="L7" s="170"/>
    </row>
    <row r="8" spans="1:12" x14ac:dyDescent="0.6">
      <c r="A8" s="158"/>
      <c r="B8" s="159"/>
      <c r="C8" s="159"/>
      <c r="D8" s="159"/>
      <c r="E8" s="186"/>
      <c r="F8" s="186"/>
      <c r="G8" s="186"/>
      <c r="H8" s="187"/>
      <c r="I8" s="171"/>
      <c r="J8" s="172"/>
      <c r="K8" s="172"/>
      <c r="L8" s="173"/>
    </row>
    <row r="9" spans="1:12" x14ac:dyDescent="0.6">
      <c r="A9" s="155" t="s">
        <v>4</v>
      </c>
      <c r="B9" s="146"/>
      <c r="C9" s="155" t="s">
        <v>5</v>
      </c>
      <c r="D9" s="155" t="s">
        <v>6</v>
      </c>
      <c r="E9" s="155" t="s">
        <v>7</v>
      </c>
      <c r="F9" s="146"/>
      <c r="G9" s="155" t="s">
        <v>8</v>
      </c>
      <c r="H9" s="151"/>
      <c r="I9" s="146"/>
      <c r="J9" s="167">
        <f>D64+E64</f>
        <v>0</v>
      </c>
      <c r="K9" s="151"/>
      <c r="L9" s="146"/>
    </row>
    <row r="10" spans="1:12" x14ac:dyDescent="0.6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6">
      <c r="A11" s="145" t="s">
        <v>39</v>
      </c>
      <c r="B11" s="146"/>
      <c r="C11" s="145">
        <f>C64</f>
        <v>0</v>
      </c>
      <c r="D11" s="145">
        <v>1800</v>
      </c>
      <c r="E11" s="145">
        <f>D11*C11</f>
        <v>0</v>
      </c>
      <c r="F11" s="146"/>
      <c r="G11" s="145" t="s">
        <v>10</v>
      </c>
      <c r="H11" s="151"/>
      <c r="I11" s="146"/>
      <c r="J11" s="167">
        <f>C25-J9</f>
        <v>0</v>
      </c>
      <c r="K11" s="151"/>
      <c r="L11" s="146"/>
    </row>
    <row r="12" spans="1:12" x14ac:dyDescent="0.6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6">
      <c r="A13" s="145" t="s">
        <v>11</v>
      </c>
      <c r="B13" s="146"/>
      <c r="C13" s="145">
        <f>D64</f>
        <v>0</v>
      </c>
      <c r="D13" s="145">
        <v>11000</v>
      </c>
      <c r="E13" s="145">
        <f>D13*C13</f>
        <v>0</v>
      </c>
      <c r="F13" s="146"/>
      <c r="G13" s="145"/>
      <c r="H13" s="151"/>
      <c r="I13" s="146"/>
      <c r="J13" s="145"/>
      <c r="K13" s="151"/>
      <c r="L13" s="146"/>
    </row>
    <row r="14" spans="1:12" x14ac:dyDescent="0.6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6">
      <c r="A15" s="145" t="s">
        <v>12</v>
      </c>
      <c r="B15" s="146"/>
      <c r="C15" s="145">
        <f>E64</f>
        <v>0</v>
      </c>
      <c r="D15" s="145">
        <v>13000</v>
      </c>
      <c r="E15" s="145">
        <f>D15*C15</f>
        <v>0</v>
      </c>
      <c r="F15" s="146"/>
      <c r="G15" s="145"/>
      <c r="H15" s="151"/>
      <c r="I15" s="146"/>
      <c r="J15" s="145"/>
      <c r="K15" s="151"/>
      <c r="L15" s="146"/>
    </row>
    <row r="16" spans="1:12" x14ac:dyDescent="0.6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6">
      <c r="A17" s="145" t="s">
        <v>13</v>
      </c>
      <c r="B17" s="146"/>
      <c r="C17" s="145">
        <f>G64</f>
        <v>0</v>
      </c>
      <c r="D17" s="119">
        <v>4500</v>
      </c>
      <c r="E17" s="145">
        <f>D17*C17</f>
        <v>0</v>
      </c>
      <c r="F17" s="146"/>
      <c r="G17" s="119" t="s">
        <v>14</v>
      </c>
      <c r="H17" s="120"/>
      <c r="I17" s="156">
        <f>E11+E13+E15+E17+E19+E21-E25</f>
        <v>0</v>
      </c>
      <c r="J17" s="140"/>
      <c r="K17" s="140"/>
      <c r="L17" s="120"/>
    </row>
    <row r="18" spans="1:12" x14ac:dyDescent="0.6">
      <c r="A18" s="147"/>
      <c r="B18" s="148"/>
      <c r="C18" s="149"/>
      <c r="D18" s="150"/>
      <c r="E18" s="147"/>
      <c r="F18" s="148"/>
      <c r="G18" s="141"/>
      <c r="H18" s="144"/>
      <c r="I18" s="141"/>
      <c r="J18" s="142"/>
      <c r="K18" s="142"/>
      <c r="L18" s="144"/>
    </row>
    <row r="19" spans="1:12" x14ac:dyDescent="0.6">
      <c r="A19" s="145" t="s">
        <v>15</v>
      </c>
      <c r="B19" s="146"/>
      <c r="C19" s="145">
        <f>H64</f>
        <v>0</v>
      </c>
      <c r="D19" s="119">
        <v>5000</v>
      </c>
      <c r="E19" s="145">
        <f>D19*C19</f>
        <v>0</v>
      </c>
      <c r="F19" s="146"/>
      <c r="G19" s="119" t="s">
        <v>40</v>
      </c>
      <c r="H19" s="120"/>
      <c r="I19" s="156">
        <v>0</v>
      </c>
      <c r="J19" s="140"/>
      <c r="K19" s="140"/>
      <c r="L19" s="120"/>
    </row>
    <row r="20" spans="1:12" x14ac:dyDescent="0.6">
      <c r="A20" s="147"/>
      <c r="B20" s="148"/>
      <c r="C20" s="149"/>
      <c r="D20" s="150"/>
      <c r="E20" s="147"/>
      <c r="F20" s="148"/>
      <c r="G20" s="141"/>
      <c r="H20" s="144"/>
      <c r="I20" s="141"/>
      <c r="J20" s="142"/>
      <c r="K20" s="142"/>
      <c r="L20" s="144"/>
    </row>
    <row r="21" spans="1:12" x14ac:dyDescent="0.6">
      <c r="A21" s="145" t="s">
        <v>17</v>
      </c>
      <c r="B21" s="146"/>
      <c r="C21" s="145">
        <f>I64</f>
        <v>0</v>
      </c>
      <c r="D21" s="145">
        <v>5000</v>
      </c>
      <c r="E21" s="145">
        <f>D21*C21</f>
        <v>0</v>
      </c>
      <c r="F21" s="146"/>
      <c r="G21" s="119" t="s">
        <v>41</v>
      </c>
      <c r="H21" s="120"/>
      <c r="I21" s="156"/>
      <c r="J21" s="140"/>
      <c r="K21" s="140"/>
      <c r="L21" s="120"/>
    </row>
    <row r="22" spans="1:12" x14ac:dyDescent="0.6">
      <c r="A22" s="147"/>
      <c r="B22" s="148"/>
      <c r="C22" s="149"/>
      <c r="D22" s="149"/>
      <c r="E22" s="147"/>
      <c r="F22" s="148"/>
      <c r="G22" s="141"/>
      <c r="H22" s="144"/>
      <c r="I22" s="141"/>
      <c r="J22" s="142"/>
      <c r="K22" s="142"/>
      <c r="L22" s="144"/>
    </row>
    <row r="23" spans="1:12" x14ac:dyDescent="0.6">
      <c r="A23" s="119" t="s">
        <v>19</v>
      </c>
      <c r="B23" s="120"/>
      <c r="C23" s="119" t="s">
        <v>5</v>
      </c>
      <c r="D23" s="119" t="s">
        <v>6</v>
      </c>
      <c r="E23" s="119" t="s">
        <v>7</v>
      </c>
      <c r="F23" s="120"/>
      <c r="G23" s="119"/>
      <c r="H23" s="120"/>
      <c r="I23" s="156"/>
      <c r="J23" s="140"/>
      <c r="K23" s="140"/>
      <c r="L23" s="120"/>
    </row>
    <row r="24" spans="1:12" ht="17.25" thickBot="1" x14ac:dyDescent="0.65">
      <c r="A24" s="121"/>
      <c r="B24" s="122"/>
      <c r="C24" s="150"/>
      <c r="D24" s="150"/>
      <c r="E24" s="141"/>
      <c r="F24" s="144"/>
      <c r="G24" s="121"/>
      <c r="H24" s="122"/>
      <c r="I24" s="121"/>
      <c r="J24" s="183"/>
      <c r="K24" s="183"/>
      <c r="L24" s="122"/>
    </row>
    <row r="25" spans="1:12" x14ac:dyDescent="0.6">
      <c r="A25" s="121"/>
      <c r="B25" s="122"/>
      <c r="C25" s="119">
        <f>F64</f>
        <v>0</v>
      </c>
      <c r="D25" s="139">
        <v>3000</v>
      </c>
      <c r="E25" s="139">
        <f>D25*C25</f>
        <v>0</v>
      </c>
      <c r="F25" s="140"/>
      <c r="G25" s="130" t="s">
        <v>20</v>
      </c>
      <c r="H25" s="131"/>
      <c r="I25" s="131"/>
      <c r="J25" s="131"/>
      <c r="K25" s="131"/>
      <c r="L25" s="132"/>
    </row>
    <row r="26" spans="1:12" x14ac:dyDescent="0.6">
      <c r="A26" s="141"/>
      <c r="B26" s="144"/>
      <c r="C26" s="150"/>
      <c r="D26" s="150"/>
      <c r="E26" s="141"/>
      <c r="F26" s="142"/>
      <c r="G26" s="133"/>
      <c r="H26" s="134"/>
      <c r="I26" s="134"/>
      <c r="J26" s="134"/>
      <c r="K26" s="134"/>
      <c r="L26" s="135"/>
    </row>
    <row r="27" spans="1:12" x14ac:dyDescent="0.6">
      <c r="A27" s="189" t="s">
        <v>21</v>
      </c>
      <c r="B27" s="151"/>
      <c r="C27" s="146"/>
      <c r="D27" s="145">
        <f>E11+E13+E15+E17+E19+E21-E25</f>
        <v>0</v>
      </c>
      <c r="E27" s="151"/>
      <c r="F27" s="151"/>
      <c r="G27" s="174">
        <f>I17+I19-I21</f>
        <v>0</v>
      </c>
      <c r="H27" s="175"/>
      <c r="I27" s="175"/>
      <c r="J27" s="175"/>
      <c r="K27" s="175"/>
      <c r="L27" s="176"/>
    </row>
    <row r="28" spans="1:12" x14ac:dyDescent="0.6">
      <c r="A28" s="152"/>
      <c r="B28" s="153"/>
      <c r="C28" s="166"/>
      <c r="D28" s="152"/>
      <c r="E28" s="153"/>
      <c r="F28" s="153"/>
      <c r="G28" s="177"/>
      <c r="H28" s="178"/>
      <c r="I28" s="178"/>
      <c r="J28" s="178"/>
      <c r="K28" s="178"/>
      <c r="L28" s="179"/>
    </row>
    <row r="29" spans="1:12" x14ac:dyDescent="0.6">
      <c r="A29" s="165" t="s">
        <v>22</v>
      </c>
      <c r="B29" s="153"/>
      <c r="C29" s="166"/>
      <c r="D29" s="152"/>
      <c r="E29" s="153"/>
      <c r="F29" s="153"/>
      <c r="G29" s="177"/>
      <c r="H29" s="178"/>
      <c r="I29" s="178"/>
      <c r="J29" s="178"/>
      <c r="K29" s="178"/>
      <c r="L29" s="179"/>
    </row>
    <row r="30" spans="1:12" ht="17.25" thickBot="1" x14ac:dyDescent="0.65">
      <c r="A30" s="147"/>
      <c r="B30" s="154"/>
      <c r="C30" s="148"/>
      <c r="D30" s="147"/>
      <c r="E30" s="154"/>
      <c r="F30" s="154"/>
      <c r="G30" s="180"/>
      <c r="H30" s="181"/>
      <c r="I30" s="181"/>
      <c r="J30" s="181"/>
      <c r="K30" s="181"/>
      <c r="L30" s="182"/>
    </row>
    <row r="31" spans="1:12" ht="18.399999999999999" x14ac:dyDescent="0.6">
      <c r="A31" s="155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6">
      <c r="A32" s="138" t="s">
        <v>23</v>
      </c>
      <c r="B32" s="137"/>
      <c r="C32" s="72" t="s">
        <v>9</v>
      </c>
      <c r="D32" s="7" t="s">
        <v>11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13"/>
      <c r="K32" s="14"/>
      <c r="L32" s="5" t="s">
        <v>26</v>
      </c>
    </row>
    <row r="33" spans="1:12" x14ac:dyDescent="0.6">
      <c r="A33" s="136" t="e">
        <f>#REF!</f>
        <v>#REF!</v>
      </c>
      <c r="B33" s="137"/>
      <c r="C33" s="73"/>
      <c r="D33" s="15"/>
      <c r="E33" s="16"/>
      <c r="F33" s="17"/>
      <c r="G33" s="18"/>
      <c r="H33" s="19"/>
      <c r="I33" s="20"/>
      <c r="J33" s="21"/>
      <c r="K33" s="14"/>
      <c r="L33" s="22">
        <f t="shared" ref="L33:L63" si="0">I33*5000+H33*5000+G33*4500-F33*3000+E33*13000+D33*11000+C33*1800</f>
        <v>0</v>
      </c>
    </row>
    <row r="34" spans="1:12" x14ac:dyDescent="0.6">
      <c r="A34" s="136" t="e">
        <f>#REF!</f>
        <v>#REF!</v>
      </c>
      <c r="B34" s="137"/>
      <c r="C34" s="73"/>
      <c r="D34" s="15"/>
      <c r="E34" s="16"/>
      <c r="F34" s="17"/>
      <c r="G34" s="18"/>
      <c r="H34" s="19"/>
      <c r="I34" s="20"/>
      <c r="J34" s="14"/>
      <c r="K34" s="14"/>
      <c r="L34" s="22">
        <f t="shared" si="0"/>
        <v>0</v>
      </c>
    </row>
    <row r="35" spans="1:12" x14ac:dyDescent="0.6">
      <c r="A35" s="136" t="e">
        <f>#REF!</f>
        <v>#REF!</v>
      </c>
      <c r="B35" s="137"/>
      <c r="C35" s="73"/>
      <c r="D35" s="15"/>
      <c r="E35" s="16"/>
      <c r="F35" s="17"/>
      <c r="G35" s="18"/>
      <c r="H35" s="19"/>
      <c r="I35" s="20"/>
      <c r="J35" s="14"/>
      <c r="K35" s="14"/>
      <c r="L35" s="22">
        <f t="shared" si="0"/>
        <v>0</v>
      </c>
    </row>
    <row r="36" spans="1:12" x14ac:dyDescent="0.6">
      <c r="A36" s="136" t="e">
        <f>#REF!</f>
        <v>#REF!</v>
      </c>
      <c r="B36" s="137"/>
      <c r="C36" s="73"/>
      <c r="D36" s="15"/>
      <c r="E36" s="16"/>
      <c r="F36" s="17"/>
      <c r="G36" s="18"/>
      <c r="H36" s="19"/>
      <c r="I36" s="20"/>
      <c r="J36" s="14"/>
      <c r="K36" s="14"/>
      <c r="L36" s="22">
        <f t="shared" si="0"/>
        <v>0</v>
      </c>
    </row>
    <row r="37" spans="1:12" x14ac:dyDescent="0.6">
      <c r="A37" s="136" t="e">
        <f>#REF!</f>
        <v>#REF!</v>
      </c>
      <c r="B37" s="137"/>
      <c r="C37" s="73"/>
      <c r="D37" s="15"/>
      <c r="E37" s="16"/>
      <c r="F37" s="17"/>
      <c r="G37" s="18"/>
      <c r="H37" s="19"/>
      <c r="I37" s="20"/>
      <c r="J37" s="14"/>
      <c r="K37" s="14"/>
      <c r="L37" s="22">
        <f t="shared" si="0"/>
        <v>0</v>
      </c>
    </row>
    <row r="38" spans="1:12" x14ac:dyDescent="0.6">
      <c r="A38" s="136" t="e">
        <f>#REF!</f>
        <v>#REF!</v>
      </c>
      <c r="B38" s="137"/>
      <c r="C38" s="73"/>
      <c r="D38" s="15"/>
      <c r="E38" s="16"/>
      <c r="F38" s="17"/>
      <c r="G38" s="18"/>
      <c r="H38" s="19"/>
      <c r="I38" s="20"/>
      <c r="J38" s="14"/>
      <c r="K38" s="14"/>
      <c r="L38" s="22">
        <f t="shared" si="0"/>
        <v>0</v>
      </c>
    </row>
    <row r="39" spans="1:12" x14ac:dyDescent="0.6">
      <c r="A39" s="136" t="e">
        <f>#REF!</f>
        <v>#REF!</v>
      </c>
      <c r="B39" s="137"/>
      <c r="C39" s="73"/>
      <c r="D39" s="15"/>
      <c r="E39" s="16"/>
      <c r="F39" s="17"/>
      <c r="G39" s="18"/>
      <c r="H39" s="19"/>
      <c r="I39" s="20"/>
      <c r="J39" s="14"/>
      <c r="K39" s="14"/>
      <c r="L39" s="22">
        <f t="shared" si="0"/>
        <v>0</v>
      </c>
    </row>
    <row r="40" spans="1:12" x14ac:dyDescent="0.6">
      <c r="A40" s="136" t="e">
        <f>#REF!</f>
        <v>#REF!</v>
      </c>
      <c r="B40" s="137"/>
      <c r="C40" s="73"/>
      <c r="D40" s="15"/>
      <c r="E40" s="16"/>
      <c r="F40" s="17"/>
      <c r="G40" s="18"/>
      <c r="H40" s="19"/>
      <c r="I40" s="20"/>
      <c r="J40" s="14"/>
      <c r="K40" s="14"/>
      <c r="L40" s="22">
        <f t="shared" si="0"/>
        <v>0</v>
      </c>
    </row>
    <row r="41" spans="1:12" x14ac:dyDescent="0.6">
      <c r="A41" s="136" t="e">
        <f>#REF!</f>
        <v>#REF!</v>
      </c>
      <c r="B41" s="137"/>
      <c r="C41" s="73"/>
      <c r="D41" s="15"/>
      <c r="E41" s="16"/>
      <c r="F41" s="17"/>
      <c r="G41" s="18"/>
      <c r="H41" s="19"/>
      <c r="I41" s="20"/>
      <c r="J41" s="14"/>
      <c r="K41" s="14"/>
      <c r="L41" s="22">
        <f t="shared" si="0"/>
        <v>0</v>
      </c>
    </row>
    <row r="42" spans="1:12" x14ac:dyDescent="0.6">
      <c r="A42" s="136" t="e">
        <f>#REF!</f>
        <v>#REF!</v>
      </c>
      <c r="B42" s="137"/>
      <c r="C42" s="73"/>
      <c r="D42" s="15"/>
      <c r="E42" s="16"/>
      <c r="F42" s="17"/>
      <c r="G42" s="18"/>
      <c r="H42" s="19"/>
      <c r="I42" s="20"/>
      <c r="J42" s="14"/>
      <c r="K42" s="14"/>
      <c r="L42" s="22">
        <f t="shared" si="0"/>
        <v>0</v>
      </c>
    </row>
    <row r="43" spans="1:12" x14ac:dyDescent="0.6">
      <c r="A43" s="136" t="e">
        <f>#REF!</f>
        <v>#REF!</v>
      </c>
      <c r="B43" s="137"/>
      <c r="C43" s="73"/>
      <c r="D43" s="15"/>
      <c r="E43" s="16"/>
      <c r="F43" s="17"/>
      <c r="G43" s="18"/>
      <c r="H43" s="19"/>
      <c r="I43" s="20"/>
      <c r="J43" s="14"/>
      <c r="K43" s="14"/>
      <c r="L43" s="22">
        <f t="shared" si="0"/>
        <v>0</v>
      </c>
    </row>
    <row r="44" spans="1:12" x14ac:dyDescent="0.6">
      <c r="A44" s="136" t="e">
        <f>#REF!</f>
        <v>#REF!</v>
      </c>
      <c r="B44" s="137"/>
      <c r="C44" s="73"/>
      <c r="D44" s="15"/>
      <c r="E44" s="16"/>
      <c r="F44" s="17"/>
      <c r="G44" s="18"/>
      <c r="H44" s="19"/>
      <c r="I44" s="20"/>
      <c r="J44" s="14"/>
      <c r="K44" s="14"/>
      <c r="L44" s="22">
        <f t="shared" si="0"/>
        <v>0</v>
      </c>
    </row>
    <row r="45" spans="1:12" x14ac:dyDescent="0.6">
      <c r="A45" s="136" t="e">
        <f>#REF!</f>
        <v>#REF!</v>
      </c>
      <c r="B45" s="137"/>
      <c r="C45" s="73"/>
      <c r="D45" s="15"/>
      <c r="E45" s="16"/>
      <c r="F45" s="17"/>
      <c r="G45" s="18"/>
      <c r="H45" s="19"/>
      <c r="I45" s="20"/>
      <c r="J45" s="14"/>
      <c r="K45" s="14"/>
      <c r="L45" s="22">
        <f t="shared" si="0"/>
        <v>0</v>
      </c>
    </row>
    <row r="46" spans="1:12" x14ac:dyDescent="0.6">
      <c r="A46" s="136" t="e">
        <f>#REF!</f>
        <v>#REF!</v>
      </c>
      <c r="B46" s="137"/>
      <c r="C46" s="73"/>
      <c r="D46" s="15"/>
      <c r="E46" s="16"/>
      <c r="F46" s="17"/>
      <c r="G46" s="18"/>
      <c r="H46" s="19"/>
      <c r="I46" s="20"/>
      <c r="J46" s="14"/>
      <c r="K46" s="14"/>
      <c r="L46" s="22">
        <f t="shared" si="0"/>
        <v>0</v>
      </c>
    </row>
    <row r="47" spans="1:12" x14ac:dyDescent="0.6">
      <c r="A47" s="136" t="e">
        <f>#REF!</f>
        <v>#REF!</v>
      </c>
      <c r="B47" s="137"/>
      <c r="C47" s="73"/>
      <c r="D47" s="15"/>
      <c r="E47" s="16"/>
      <c r="F47" s="17"/>
      <c r="G47" s="18"/>
      <c r="H47" s="19"/>
      <c r="I47" s="20"/>
      <c r="J47" s="14"/>
      <c r="K47" s="14"/>
      <c r="L47" s="22">
        <f t="shared" si="0"/>
        <v>0</v>
      </c>
    </row>
    <row r="48" spans="1:12" x14ac:dyDescent="0.6">
      <c r="A48" s="136" t="e">
        <f>#REF!</f>
        <v>#REF!</v>
      </c>
      <c r="B48" s="137"/>
      <c r="C48" s="73"/>
      <c r="D48" s="15"/>
      <c r="E48" s="16"/>
      <c r="F48" s="17"/>
      <c r="G48" s="18"/>
      <c r="H48" s="19"/>
      <c r="I48" s="20"/>
      <c r="J48" s="21"/>
      <c r="K48" s="14"/>
      <c r="L48" s="22">
        <f t="shared" si="0"/>
        <v>0</v>
      </c>
    </row>
    <row r="49" spans="1:12" x14ac:dyDescent="0.6">
      <c r="A49" s="136" t="e">
        <f>#REF!</f>
        <v>#REF!</v>
      </c>
      <c r="B49" s="137"/>
      <c r="C49" s="73"/>
      <c r="D49" s="15"/>
      <c r="E49" s="16"/>
      <c r="F49" s="17"/>
      <c r="G49" s="18"/>
      <c r="H49" s="19"/>
      <c r="I49" s="20"/>
      <c r="J49" s="14"/>
      <c r="K49" s="14"/>
      <c r="L49" s="22">
        <f t="shared" si="0"/>
        <v>0</v>
      </c>
    </row>
    <row r="50" spans="1:12" x14ac:dyDescent="0.6">
      <c r="A50" s="136" t="e">
        <f>#REF!</f>
        <v>#REF!</v>
      </c>
      <c r="B50" s="137"/>
      <c r="C50" s="73"/>
      <c r="D50" s="15"/>
      <c r="E50" s="16"/>
      <c r="F50" s="17"/>
      <c r="G50" s="18"/>
      <c r="H50" s="19"/>
      <c r="I50" s="20"/>
      <c r="J50" s="14"/>
      <c r="K50" s="14"/>
      <c r="L50" s="22">
        <f t="shared" si="0"/>
        <v>0</v>
      </c>
    </row>
    <row r="51" spans="1:12" x14ac:dyDescent="0.6">
      <c r="A51" s="136" t="e">
        <f>#REF!</f>
        <v>#REF!</v>
      </c>
      <c r="B51" s="137"/>
      <c r="C51" s="73"/>
      <c r="D51" s="15"/>
      <c r="E51" s="16"/>
      <c r="F51" s="17"/>
      <c r="G51" s="18"/>
      <c r="H51" s="19"/>
      <c r="I51" s="20"/>
      <c r="J51" s="14"/>
      <c r="K51" s="14"/>
      <c r="L51" s="22">
        <f t="shared" si="0"/>
        <v>0</v>
      </c>
    </row>
    <row r="52" spans="1:12" x14ac:dyDescent="0.6">
      <c r="A52" s="136" t="e">
        <f>#REF!</f>
        <v>#REF!</v>
      </c>
      <c r="B52" s="137"/>
      <c r="C52" s="73"/>
      <c r="D52" s="15"/>
      <c r="E52" s="16"/>
      <c r="F52" s="17"/>
      <c r="G52" s="18"/>
      <c r="H52" s="19"/>
      <c r="I52" s="20"/>
      <c r="J52" s="14"/>
      <c r="K52" s="14"/>
      <c r="L52" s="22">
        <f t="shared" si="0"/>
        <v>0</v>
      </c>
    </row>
    <row r="53" spans="1:12" x14ac:dyDescent="0.6">
      <c r="A53" s="136" t="e">
        <f>#REF!</f>
        <v>#REF!</v>
      </c>
      <c r="B53" s="137"/>
      <c r="C53" s="73"/>
      <c r="D53" s="15"/>
      <c r="E53" s="16"/>
      <c r="F53" s="17"/>
      <c r="G53" s="18"/>
      <c r="H53" s="19"/>
      <c r="I53" s="20"/>
      <c r="J53" s="14"/>
      <c r="K53" s="14"/>
      <c r="L53" s="22">
        <f t="shared" si="0"/>
        <v>0</v>
      </c>
    </row>
    <row r="54" spans="1:12" x14ac:dyDescent="0.6">
      <c r="A54" s="136" t="e">
        <f>#REF!</f>
        <v>#REF!</v>
      </c>
      <c r="B54" s="137"/>
      <c r="C54" s="73"/>
      <c r="D54" s="15"/>
      <c r="E54" s="16"/>
      <c r="F54" s="17"/>
      <c r="G54" s="18"/>
      <c r="H54" s="19"/>
      <c r="I54" s="20"/>
      <c r="J54" s="14"/>
      <c r="K54" s="14"/>
      <c r="L54" s="22">
        <f t="shared" si="0"/>
        <v>0</v>
      </c>
    </row>
    <row r="55" spans="1:12" x14ac:dyDescent="0.6">
      <c r="A55" s="136" t="e">
        <f>#REF!</f>
        <v>#REF!</v>
      </c>
      <c r="B55" s="137"/>
      <c r="C55" s="73"/>
      <c r="D55" s="15"/>
      <c r="E55" s="16"/>
      <c r="F55" s="17"/>
      <c r="G55" s="18"/>
      <c r="H55" s="19"/>
      <c r="I55" s="20"/>
      <c r="J55" s="14"/>
      <c r="K55" s="14"/>
      <c r="L55" s="22">
        <f t="shared" si="0"/>
        <v>0</v>
      </c>
    </row>
    <row r="56" spans="1:12" x14ac:dyDescent="0.6">
      <c r="A56" s="136" t="e">
        <f>#REF!</f>
        <v>#REF!</v>
      </c>
      <c r="B56" s="137"/>
      <c r="C56" s="73"/>
      <c r="D56" s="15"/>
      <c r="E56" s="16"/>
      <c r="F56" s="17"/>
      <c r="G56" s="18"/>
      <c r="H56" s="19"/>
      <c r="I56" s="20"/>
      <c r="J56" s="14"/>
      <c r="K56" s="14"/>
      <c r="L56" s="22">
        <f t="shared" si="0"/>
        <v>0</v>
      </c>
    </row>
    <row r="57" spans="1:12" x14ac:dyDescent="0.6">
      <c r="A57" s="136" t="e">
        <f>#REF!</f>
        <v>#REF!</v>
      </c>
      <c r="B57" s="137"/>
      <c r="C57" s="73"/>
      <c r="D57" s="15"/>
      <c r="E57" s="16"/>
      <c r="F57" s="17"/>
      <c r="G57" s="18"/>
      <c r="H57" s="19"/>
      <c r="I57" s="20"/>
      <c r="J57" s="14"/>
      <c r="K57" s="14"/>
      <c r="L57" s="22">
        <f t="shared" si="0"/>
        <v>0</v>
      </c>
    </row>
    <row r="58" spans="1:12" x14ac:dyDescent="0.6">
      <c r="A58" s="136" t="e">
        <f>#REF!</f>
        <v>#REF!</v>
      </c>
      <c r="B58" s="137"/>
      <c r="C58" s="73"/>
      <c r="D58" s="15"/>
      <c r="E58" s="16"/>
      <c r="F58" s="17"/>
      <c r="G58" s="18"/>
      <c r="H58" s="19"/>
      <c r="I58" s="20"/>
      <c r="J58" s="21"/>
      <c r="K58" s="14"/>
      <c r="L58" s="22">
        <f t="shared" si="0"/>
        <v>0</v>
      </c>
    </row>
    <row r="59" spans="1:12" x14ac:dyDescent="0.6">
      <c r="A59" s="136" t="e">
        <f>#REF!</f>
        <v>#REF!</v>
      </c>
      <c r="B59" s="137"/>
      <c r="C59" s="73"/>
      <c r="D59" s="15"/>
      <c r="E59" s="16"/>
      <c r="F59" s="17"/>
      <c r="G59" s="18"/>
      <c r="H59" s="19"/>
      <c r="I59" s="20"/>
      <c r="J59" s="14"/>
      <c r="K59" s="14"/>
      <c r="L59" s="22">
        <f t="shared" si="0"/>
        <v>0</v>
      </c>
    </row>
    <row r="60" spans="1:12" x14ac:dyDescent="0.6">
      <c r="A60" s="136" t="e">
        <f>#REF!</f>
        <v>#REF!</v>
      </c>
      <c r="B60" s="137"/>
      <c r="C60" s="73"/>
      <c r="D60" s="15"/>
      <c r="E60" s="16"/>
      <c r="F60" s="17"/>
      <c r="G60" s="18"/>
      <c r="H60" s="19"/>
      <c r="I60" s="20"/>
      <c r="J60" s="14"/>
      <c r="K60" s="14"/>
      <c r="L60" s="22">
        <f t="shared" si="0"/>
        <v>0</v>
      </c>
    </row>
    <row r="61" spans="1:12" x14ac:dyDescent="0.6">
      <c r="A61" s="136" t="e">
        <f>#REF!</f>
        <v>#REF!</v>
      </c>
      <c r="B61" s="137"/>
      <c r="C61" s="73"/>
      <c r="D61" s="15"/>
      <c r="E61" s="16"/>
      <c r="F61" s="17"/>
      <c r="G61" s="18"/>
      <c r="H61" s="19"/>
      <c r="I61" s="20"/>
      <c r="J61" s="14"/>
      <c r="K61" s="14"/>
      <c r="L61" s="22">
        <f t="shared" si="0"/>
        <v>0</v>
      </c>
    </row>
    <row r="62" spans="1:12" x14ac:dyDescent="0.6">
      <c r="A62" s="136" t="e">
        <f>#REF!</f>
        <v>#REF!</v>
      </c>
      <c r="B62" s="137"/>
      <c r="C62" s="73"/>
      <c r="D62" s="15"/>
      <c r="E62" s="16"/>
      <c r="F62" s="17"/>
      <c r="G62" s="18"/>
      <c r="H62" s="19"/>
      <c r="I62" s="20"/>
      <c r="J62" s="14"/>
      <c r="K62" s="14"/>
      <c r="L62" s="22">
        <f t="shared" si="0"/>
        <v>0</v>
      </c>
    </row>
    <row r="63" spans="1:12" x14ac:dyDescent="0.6">
      <c r="A63" s="136" t="e">
        <f>#REF!</f>
        <v>#REF!</v>
      </c>
      <c r="B63" s="137"/>
      <c r="C63" s="73"/>
      <c r="D63" s="15"/>
      <c r="E63" s="16"/>
      <c r="F63" s="17"/>
      <c r="G63" s="18"/>
      <c r="H63" s="19"/>
      <c r="I63" s="20"/>
      <c r="J63" s="14"/>
      <c r="K63" s="14"/>
      <c r="L63" s="22">
        <f t="shared" si="0"/>
        <v>0</v>
      </c>
    </row>
    <row r="64" spans="1:12" x14ac:dyDescent="0.6">
      <c r="A64" s="143" t="s">
        <v>26</v>
      </c>
      <c r="B64" s="115"/>
      <c r="C64" s="97">
        <f t="shared" ref="C64:J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129">
        <f t="shared" si="1"/>
        <v>0</v>
      </c>
      <c r="K64" s="115"/>
      <c r="L64" s="98">
        <f>SUM(L33:L63)</f>
        <v>0</v>
      </c>
    </row>
    <row r="65" spans="1:12" x14ac:dyDescent="0.6">
      <c r="A65" s="123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6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6">
      <c r="A67" s="113" t="s">
        <v>28</v>
      </c>
      <c r="B67" s="114"/>
      <c r="C67" s="115"/>
      <c r="D67" s="113" t="s">
        <v>230</v>
      </c>
      <c r="E67" s="114"/>
      <c r="F67" s="114"/>
      <c r="G67" s="114"/>
      <c r="H67" s="115"/>
      <c r="I67" s="113"/>
      <c r="J67" s="114"/>
      <c r="K67" s="114"/>
      <c r="L67" s="115"/>
    </row>
    <row r="68" spans="1:12" x14ac:dyDescent="0.6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6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6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3">
    <mergeCell ref="A3:L4"/>
    <mergeCell ref="A5:L6"/>
    <mergeCell ref="A7:D8"/>
    <mergeCell ref="E7:H8"/>
    <mergeCell ref="I7:L8"/>
    <mergeCell ref="A9:B10"/>
    <mergeCell ref="C9:C10"/>
    <mergeCell ref="D9:D10"/>
    <mergeCell ref="E9:F10"/>
    <mergeCell ref="G9:I10"/>
    <mergeCell ref="A13:B14"/>
    <mergeCell ref="C13:C14"/>
    <mergeCell ref="D13:D14"/>
    <mergeCell ref="E13:F14"/>
    <mergeCell ref="G13:I14"/>
    <mergeCell ref="J13:L14"/>
    <mergeCell ref="J9:L10"/>
    <mergeCell ref="A11:B12"/>
    <mergeCell ref="C11:C12"/>
    <mergeCell ref="D11:D12"/>
    <mergeCell ref="E11:F12"/>
    <mergeCell ref="G11:I12"/>
    <mergeCell ref="J11:L12"/>
    <mergeCell ref="A17:B18"/>
    <mergeCell ref="C17:C18"/>
    <mergeCell ref="D17:D18"/>
    <mergeCell ref="E17:F18"/>
    <mergeCell ref="G17:H18"/>
    <mergeCell ref="I17:L18"/>
    <mergeCell ref="A15:B16"/>
    <mergeCell ref="C15:C16"/>
    <mergeCell ref="D15:D16"/>
    <mergeCell ref="E15:F16"/>
    <mergeCell ref="G15:I16"/>
    <mergeCell ref="J15:L16"/>
    <mergeCell ref="A21:B22"/>
    <mergeCell ref="C21:C22"/>
    <mergeCell ref="D21:D22"/>
    <mergeCell ref="E21:F22"/>
    <mergeCell ref="G21:H22"/>
    <mergeCell ref="I21:L22"/>
    <mergeCell ref="A19:B20"/>
    <mergeCell ref="C19:C20"/>
    <mergeCell ref="D19:D20"/>
    <mergeCell ref="E19:F20"/>
    <mergeCell ref="G19:H20"/>
    <mergeCell ref="I19:L20"/>
    <mergeCell ref="A23:B26"/>
    <mergeCell ref="C23:C24"/>
    <mergeCell ref="D23:D24"/>
    <mergeCell ref="E23:F24"/>
    <mergeCell ref="G23:H24"/>
    <mergeCell ref="I23:L24"/>
    <mergeCell ref="C25:C26"/>
    <mergeCell ref="D25:D26"/>
    <mergeCell ref="E25:F26"/>
    <mergeCell ref="G25:L26"/>
    <mergeCell ref="A33:B33"/>
    <mergeCell ref="A34:B34"/>
    <mergeCell ref="A35:B35"/>
    <mergeCell ref="A36:B36"/>
    <mergeCell ref="A37:B37"/>
    <mergeCell ref="A38:B38"/>
    <mergeCell ref="A27:C28"/>
    <mergeCell ref="D27:F30"/>
    <mergeCell ref="G27:L30"/>
    <mergeCell ref="A29:C30"/>
    <mergeCell ref="A31:L31"/>
    <mergeCell ref="A32:B32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57:B57"/>
    <mergeCell ref="A58:B58"/>
    <mergeCell ref="A59:B59"/>
    <mergeCell ref="A60:B60"/>
    <mergeCell ref="A61:B61"/>
    <mergeCell ref="A62:B62"/>
    <mergeCell ref="A51:B51"/>
    <mergeCell ref="A52:B52"/>
    <mergeCell ref="A53:B53"/>
    <mergeCell ref="A54:B54"/>
    <mergeCell ref="A55:B55"/>
    <mergeCell ref="A56:B56"/>
    <mergeCell ref="A69:C70"/>
    <mergeCell ref="D69:H70"/>
    <mergeCell ref="I69:L70"/>
    <mergeCell ref="A63:B63"/>
    <mergeCell ref="A64:B64"/>
    <mergeCell ref="J64:K64"/>
    <mergeCell ref="A65:L66"/>
    <mergeCell ref="A67:C68"/>
    <mergeCell ref="D67:H68"/>
    <mergeCell ref="I67:L68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81002-3B3E-4C95-904F-53645C0277F8}">
  <dimension ref="A1:L70"/>
  <sheetViews>
    <sheetView zoomScale="70" zoomScaleNormal="70" workbookViewId="0">
      <selection activeCell="A7" sqref="A7:D8"/>
    </sheetView>
  </sheetViews>
  <sheetFormatPr defaultRowHeight="16.899999999999999" x14ac:dyDescent="0.6"/>
  <cols>
    <col min="1" max="3" width="9.0625" bestFit="1" customWidth="1"/>
    <col min="4" max="4" width="10.625" bestFit="1" customWidth="1"/>
    <col min="5" max="11" width="9.0625" bestFit="1" customWidth="1"/>
    <col min="12" max="12" width="9.5625" bestFit="1" customWidth="1"/>
  </cols>
  <sheetData>
    <row r="1" spans="1:12" x14ac:dyDescent="0.6">
      <c r="A1" s="70">
        <v>1</v>
      </c>
      <c r="B1" s="2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6">
      <c r="A2" s="71">
        <v>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3" spans="1:12" x14ac:dyDescent="0.6">
      <c r="A3" s="160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6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6">
      <c r="A5" s="162" t="s">
        <v>224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6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x14ac:dyDescent="0.6">
      <c r="A7" s="123" t="s">
        <v>213</v>
      </c>
      <c r="B7" s="157"/>
      <c r="C7" s="157"/>
      <c r="D7" s="157"/>
      <c r="E7" s="184" t="s">
        <v>2</v>
      </c>
      <c r="F7" s="184"/>
      <c r="G7" s="184"/>
      <c r="H7" s="185"/>
      <c r="I7" s="168" t="s">
        <v>38</v>
      </c>
      <c r="J7" s="169"/>
      <c r="K7" s="169"/>
      <c r="L7" s="170"/>
    </row>
    <row r="8" spans="1:12" x14ac:dyDescent="0.6">
      <c r="A8" s="158"/>
      <c r="B8" s="159"/>
      <c r="C8" s="159"/>
      <c r="D8" s="159"/>
      <c r="E8" s="186"/>
      <c r="F8" s="186"/>
      <c r="G8" s="186"/>
      <c r="H8" s="187"/>
      <c r="I8" s="171"/>
      <c r="J8" s="172"/>
      <c r="K8" s="172"/>
      <c r="L8" s="173"/>
    </row>
    <row r="9" spans="1:12" x14ac:dyDescent="0.6">
      <c r="A9" s="155" t="s">
        <v>4</v>
      </c>
      <c r="B9" s="146"/>
      <c r="C9" s="155" t="s">
        <v>5</v>
      </c>
      <c r="D9" s="155" t="s">
        <v>6</v>
      </c>
      <c r="E9" s="155" t="s">
        <v>7</v>
      </c>
      <c r="F9" s="146"/>
      <c r="G9" s="155" t="s">
        <v>8</v>
      </c>
      <c r="H9" s="151"/>
      <c r="I9" s="146"/>
      <c r="J9" s="167">
        <f>D64+E64</f>
        <v>0</v>
      </c>
      <c r="K9" s="151"/>
      <c r="L9" s="146"/>
    </row>
    <row r="10" spans="1:12" x14ac:dyDescent="0.6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6">
      <c r="A11" s="145" t="s">
        <v>39</v>
      </c>
      <c r="B11" s="146"/>
      <c r="C11" s="145">
        <f>C64</f>
        <v>0</v>
      </c>
      <c r="D11" s="145">
        <v>1900</v>
      </c>
      <c r="E11" s="145">
        <f>D11*C11</f>
        <v>0</v>
      </c>
      <c r="F11" s="146"/>
      <c r="G11" s="145" t="s">
        <v>10</v>
      </c>
      <c r="H11" s="151"/>
      <c r="I11" s="146"/>
      <c r="J11" s="167">
        <f>C25-J9</f>
        <v>0</v>
      </c>
      <c r="K11" s="151"/>
      <c r="L11" s="146"/>
    </row>
    <row r="12" spans="1:12" x14ac:dyDescent="0.6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6">
      <c r="A13" s="145" t="s">
        <v>11</v>
      </c>
      <c r="B13" s="146"/>
      <c r="C13" s="145">
        <f>D64</f>
        <v>0</v>
      </c>
      <c r="D13" s="145">
        <v>13000</v>
      </c>
      <c r="E13" s="145">
        <f>D13*C13</f>
        <v>0</v>
      </c>
      <c r="F13" s="146"/>
      <c r="G13" s="145"/>
      <c r="H13" s="151"/>
      <c r="I13" s="146"/>
      <c r="J13" s="145"/>
      <c r="K13" s="151"/>
      <c r="L13" s="146"/>
    </row>
    <row r="14" spans="1:12" x14ac:dyDescent="0.6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6">
      <c r="A15" s="145" t="s">
        <v>12</v>
      </c>
      <c r="B15" s="146"/>
      <c r="C15" s="145">
        <f>E64</f>
        <v>0</v>
      </c>
      <c r="D15" s="145">
        <v>15000</v>
      </c>
      <c r="E15" s="145">
        <f>D15*C15</f>
        <v>0</v>
      </c>
      <c r="F15" s="146"/>
      <c r="G15" s="145"/>
      <c r="H15" s="151"/>
      <c r="I15" s="146"/>
      <c r="J15" s="145"/>
      <c r="K15" s="151"/>
      <c r="L15" s="146"/>
    </row>
    <row r="16" spans="1:12" x14ac:dyDescent="0.6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6">
      <c r="A17" s="145" t="s">
        <v>13</v>
      </c>
      <c r="B17" s="146"/>
      <c r="C17" s="145">
        <f>G64</f>
        <v>0</v>
      </c>
      <c r="D17" s="119">
        <v>4500</v>
      </c>
      <c r="E17" s="145">
        <f>D17*C17</f>
        <v>0</v>
      </c>
      <c r="F17" s="146"/>
      <c r="G17" s="119" t="s">
        <v>14</v>
      </c>
      <c r="H17" s="120"/>
      <c r="I17" s="156">
        <f>E11+E13+E15+E17+E19+E21-E25</f>
        <v>0</v>
      </c>
      <c r="J17" s="140"/>
      <c r="K17" s="140"/>
      <c r="L17" s="120"/>
    </row>
    <row r="18" spans="1:12" x14ac:dyDescent="0.6">
      <c r="A18" s="147"/>
      <c r="B18" s="148"/>
      <c r="C18" s="149"/>
      <c r="D18" s="150"/>
      <c r="E18" s="147"/>
      <c r="F18" s="148"/>
      <c r="G18" s="141"/>
      <c r="H18" s="144"/>
      <c r="I18" s="141"/>
      <c r="J18" s="142"/>
      <c r="K18" s="142"/>
      <c r="L18" s="144"/>
    </row>
    <row r="19" spans="1:12" x14ac:dyDescent="0.6">
      <c r="A19" s="145" t="s">
        <v>15</v>
      </c>
      <c r="B19" s="146"/>
      <c r="C19" s="145">
        <f>H64</f>
        <v>0</v>
      </c>
      <c r="D19" s="119">
        <v>4500</v>
      </c>
      <c r="E19" s="145">
        <f>D19*C19</f>
        <v>0</v>
      </c>
      <c r="F19" s="146"/>
      <c r="G19" s="119" t="s">
        <v>40</v>
      </c>
      <c r="H19" s="120"/>
      <c r="I19" s="156">
        <v>0</v>
      </c>
      <c r="J19" s="140"/>
      <c r="K19" s="140"/>
      <c r="L19" s="120"/>
    </row>
    <row r="20" spans="1:12" x14ac:dyDescent="0.6">
      <c r="A20" s="147"/>
      <c r="B20" s="148"/>
      <c r="C20" s="149"/>
      <c r="D20" s="150"/>
      <c r="E20" s="147"/>
      <c r="F20" s="148"/>
      <c r="G20" s="141"/>
      <c r="H20" s="144"/>
      <c r="I20" s="141"/>
      <c r="J20" s="142"/>
      <c r="K20" s="142"/>
      <c r="L20" s="144"/>
    </row>
    <row r="21" spans="1:12" x14ac:dyDescent="0.6">
      <c r="A21" s="145" t="s">
        <v>17</v>
      </c>
      <c r="B21" s="146"/>
      <c r="C21" s="145">
        <f>I64</f>
        <v>0</v>
      </c>
      <c r="D21" s="145">
        <v>6000</v>
      </c>
      <c r="E21" s="145">
        <f>D21*C21</f>
        <v>0</v>
      </c>
      <c r="F21" s="146"/>
      <c r="G21" s="119" t="s">
        <v>41</v>
      </c>
      <c r="H21" s="120"/>
      <c r="I21" s="156"/>
      <c r="J21" s="140"/>
      <c r="K21" s="140"/>
      <c r="L21" s="120"/>
    </row>
    <row r="22" spans="1:12" x14ac:dyDescent="0.6">
      <c r="A22" s="147"/>
      <c r="B22" s="148"/>
      <c r="C22" s="149"/>
      <c r="D22" s="149"/>
      <c r="E22" s="147"/>
      <c r="F22" s="148"/>
      <c r="G22" s="141"/>
      <c r="H22" s="144"/>
      <c r="I22" s="141"/>
      <c r="J22" s="142"/>
      <c r="K22" s="142"/>
      <c r="L22" s="144"/>
    </row>
    <row r="23" spans="1:12" x14ac:dyDescent="0.6">
      <c r="A23" s="119" t="s">
        <v>19</v>
      </c>
      <c r="B23" s="120"/>
      <c r="C23" s="119" t="s">
        <v>5</v>
      </c>
      <c r="D23" s="119" t="s">
        <v>6</v>
      </c>
      <c r="E23" s="119" t="s">
        <v>7</v>
      </c>
      <c r="F23" s="120"/>
      <c r="G23" s="119"/>
      <c r="H23" s="120"/>
      <c r="I23" s="156"/>
      <c r="J23" s="140"/>
      <c r="K23" s="140"/>
      <c r="L23" s="120"/>
    </row>
    <row r="24" spans="1:12" ht="17.25" thickBot="1" x14ac:dyDescent="0.65">
      <c r="A24" s="121"/>
      <c r="B24" s="122"/>
      <c r="C24" s="150"/>
      <c r="D24" s="150"/>
      <c r="E24" s="141"/>
      <c r="F24" s="144"/>
      <c r="G24" s="121"/>
      <c r="H24" s="122"/>
      <c r="I24" s="121"/>
      <c r="J24" s="183"/>
      <c r="K24" s="183"/>
      <c r="L24" s="122"/>
    </row>
    <row r="25" spans="1:12" x14ac:dyDescent="0.6">
      <c r="A25" s="121"/>
      <c r="B25" s="122"/>
      <c r="C25" s="119">
        <f>F64</f>
        <v>0</v>
      </c>
      <c r="D25" s="139">
        <v>3000</v>
      </c>
      <c r="E25" s="139">
        <f>D25*C25</f>
        <v>0</v>
      </c>
      <c r="F25" s="140"/>
      <c r="G25" s="130" t="s">
        <v>227</v>
      </c>
      <c r="H25" s="131"/>
      <c r="I25" s="131"/>
      <c r="J25" s="131"/>
      <c r="K25" s="131"/>
      <c r="L25" s="132"/>
    </row>
    <row r="26" spans="1:12" x14ac:dyDescent="0.6">
      <c r="A26" s="141"/>
      <c r="B26" s="144"/>
      <c r="C26" s="150"/>
      <c r="D26" s="150"/>
      <c r="E26" s="141"/>
      <c r="F26" s="142"/>
      <c r="G26" s="133"/>
      <c r="H26" s="134"/>
      <c r="I26" s="134"/>
      <c r="J26" s="134"/>
      <c r="K26" s="134"/>
      <c r="L26" s="135"/>
    </row>
    <row r="27" spans="1:12" x14ac:dyDescent="0.6">
      <c r="A27" s="189" t="s">
        <v>21</v>
      </c>
      <c r="B27" s="151"/>
      <c r="C27" s="146"/>
      <c r="D27" s="145">
        <f>E11+E13+E15+E17+E19+E21-E25</f>
        <v>0</v>
      </c>
      <c r="E27" s="151"/>
      <c r="F27" s="151"/>
      <c r="G27" s="174">
        <f>I17+I19-I21</f>
        <v>0</v>
      </c>
      <c r="H27" s="175"/>
      <c r="I27" s="175"/>
      <c r="J27" s="175"/>
      <c r="K27" s="175"/>
      <c r="L27" s="176"/>
    </row>
    <row r="28" spans="1:12" x14ac:dyDescent="0.6">
      <c r="A28" s="152"/>
      <c r="B28" s="153"/>
      <c r="C28" s="166"/>
      <c r="D28" s="152"/>
      <c r="E28" s="153"/>
      <c r="F28" s="153"/>
      <c r="G28" s="177"/>
      <c r="H28" s="178"/>
      <c r="I28" s="178"/>
      <c r="J28" s="178"/>
      <c r="K28" s="178"/>
      <c r="L28" s="179"/>
    </row>
    <row r="29" spans="1:12" x14ac:dyDescent="0.6">
      <c r="A29" s="165" t="s">
        <v>22</v>
      </c>
      <c r="B29" s="153"/>
      <c r="C29" s="166"/>
      <c r="D29" s="152"/>
      <c r="E29" s="153"/>
      <c r="F29" s="153"/>
      <c r="G29" s="177"/>
      <c r="H29" s="178"/>
      <c r="I29" s="178"/>
      <c r="J29" s="178"/>
      <c r="K29" s="178"/>
      <c r="L29" s="179"/>
    </row>
    <row r="30" spans="1:12" ht="17.25" thickBot="1" x14ac:dyDescent="0.65">
      <c r="A30" s="147"/>
      <c r="B30" s="154"/>
      <c r="C30" s="148"/>
      <c r="D30" s="147"/>
      <c r="E30" s="154"/>
      <c r="F30" s="154"/>
      <c r="G30" s="180"/>
      <c r="H30" s="181"/>
      <c r="I30" s="181"/>
      <c r="J30" s="181"/>
      <c r="K30" s="181"/>
      <c r="L30" s="182"/>
    </row>
    <row r="31" spans="1:12" ht="18.399999999999999" x14ac:dyDescent="0.6">
      <c r="A31" s="155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6">
      <c r="A32" s="138" t="s">
        <v>23</v>
      </c>
      <c r="B32" s="137"/>
      <c r="C32" s="72" t="s">
        <v>9</v>
      </c>
      <c r="D32" s="7" t="s">
        <v>11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13"/>
      <c r="K32" s="14"/>
      <c r="L32" s="5" t="s">
        <v>26</v>
      </c>
    </row>
    <row r="33" spans="1:12" x14ac:dyDescent="0.6">
      <c r="A33" s="136" t="e">
        <f>#REF!</f>
        <v>#REF!</v>
      </c>
      <c r="B33" s="137"/>
      <c r="C33" s="73"/>
      <c r="D33" s="15"/>
      <c r="E33" s="16"/>
      <c r="F33" s="17"/>
      <c r="G33" s="18"/>
      <c r="H33" s="19"/>
      <c r="I33" s="20"/>
      <c r="J33" s="21"/>
      <c r="K33" s="14"/>
      <c r="L33" s="22">
        <f t="shared" ref="L33:L63" si="0">I33*6000+H33*4500+G33*4500-F33*3000+E33*15000+D33*13000+C33*1900</f>
        <v>0</v>
      </c>
    </row>
    <row r="34" spans="1:12" x14ac:dyDescent="0.6">
      <c r="A34" s="136" t="e">
        <f>#REF!</f>
        <v>#REF!</v>
      </c>
      <c r="B34" s="137"/>
      <c r="C34" s="73"/>
      <c r="D34" s="15"/>
      <c r="E34" s="16"/>
      <c r="F34" s="17"/>
      <c r="G34" s="18"/>
      <c r="H34" s="19"/>
      <c r="I34" s="20"/>
      <c r="J34" s="14"/>
      <c r="K34" s="14"/>
      <c r="L34" s="22">
        <f t="shared" si="0"/>
        <v>0</v>
      </c>
    </row>
    <row r="35" spans="1:12" x14ac:dyDescent="0.6">
      <c r="A35" s="136" t="e">
        <f>#REF!</f>
        <v>#REF!</v>
      </c>
      <c r="B35" s="137"/>
      <c r="C35" s="73"/>
      <c r="D35" s="15"/>
      <c r="E35" s="16"/>
      <c r="F35" s="17"/>
      <c r="G35" s="18"/>
      <c r="H35" s="19"/>
      <c r="I35" s="20"/>
      <c r="J35" s="14"/>
      <c r="K35" s="14"/>
      <c r="L35" s="22">
        <f t="shared" si="0"/>
        <v>0</v>
      </c>
    </row>
    <row r="36" spans="1:12" x14ac:dyDescent="0.6">
      <c r="A36" s="136" t="e">
        <f>#REF!</f>
        <v>#REF!</v>
      </c>
      <c r="B36" s="137"/>
      <c r="C36" s="73"/>
      <c r="D36" s="15"/>
      <c r="E36" s="16"/>
      <c r="F36" s="17"/>
      <c r="G36" s="18"/>
      <c r="H36" s="19"/>
      <c r="I36" s="20"/>
      <c r="J36" s="14"/>
      <c r="K36" s="14"/>
      <c r="L36" s="22">
        <f t="shared" si="0"/>
        <v>0</v>
      </c>
    </row>
    <row r="37" spans="1:12" x14ac:dyDescent="0.6">
      <c r="A37" s="136" t="e">
        <f>#REF!</f>
        <v>#REF!</v>
      </c>
      <c r="B37" s="137"/>
      <c r="C37" s="73"/>
      <c r="D37" s="15"/>
      <c r="E37" s="16"/>
      <c r="F37" s="17"/>
      <c r="G37" s="18"/>
      <c r="H37" s="19"/>
      <c r="I37" s="20"/>
      <c r="J37" s="14"/>
      <c r="K37" s="14"/>
      <c r="L37" s="22">
        <f t="shared" si="0"/>
        <v>0</v>
      </c>
    </row>
    <row r="38" spans="1:12" x14ac:dyDescent="0.6">
      <c r="A38" s="136" t="e">
        <f>#REF!</f>
        <v>#REF!</v>
      </c>
      <c r="B38" s="137"/>
      <c r="C38" s="73"/>
      <c r="D38" s="15"/>
      <c r="E38" s="16"/>
      <c r="F38" s="17"/>
      <c r="G38" s="18"/>
      <c r="H38" s="19"/>
      <c r="I38" s="20"/>
      <c r="J38" s="14"/>
      <c r="K38" s="14"/>
      <c r="L38" s="22">
        <f t="shared" si="0"/>
        <v>0</v>
      </c>
    </row>
    <row r="39" spans="1:12" x14ac:dyDescent="0.6">
      <c r="A39" s="136" t="e">
        <f>#REF!</f>
        <v>#REF!</v>
      </c>
      <c r="B39" s="137"/>
      <c r="C39" s="73"/>
      <c r="D39" s="15"/>
      <c r="E39" s="16"/>
      <c r="F39" s="17"/>
      <c r="G39" s="18"/>
      <c r="H39" s="19"/>
      <c r="I39" s="20"/>
      <c r="J39" s="14"/>
      <c r="K39" s="14"/>
      <c r="L39" s="22">
        <f t="shared" si="0"/>
        <v>0</v>
      </c>
    </row>
    <row r="40" spans="1:12" x14ac:dyDescent="0.6">
      <c r="A40" s="136" t="e">
        <f>#REF!</f>
        <v>#REF!</v>
      </c>
      <c r="B40" s="137"/>
      <c r="C40" s="73"/>
      <c r="D40" s="15"/>
      <c r="E40" s="16"/>
      <c r="F40" s="17"/>
      <c r="G40" s="18"/>
      <c r="H40" s="19"/>
      <c r="I40" s="20"/>
      <c r="J40" s="14"/>
      <c r="K40" s="14"/>
      <c r="L40" s="22">
        <f t="shared" si="0"/>
        <v>0</v>
      </c>
    </row>
    <row r="41" spans="1:12" x14ac:dyDescent="0.6">
      <c r="A41" s="136" t="e">
        <f>#REF!</f>
        <v>#REF!</v>
      </c>
      <c r="B41" s="137"/>
      <c r="C41" s="73"/>
      <c r="D41" s="15"/>
      <c r="E41" s="16"/>
      <c r="F41" s="17"/>
      <c r="G41" s="18"/>
      <c r="H41" s="19"/>
      <c r="I41" s="20"/>
      <c r="J41" s="14"/>
      <c r="K41" s="14"/>
      <c r="L41" s="22">
        <f t="shared" si="0"/>
        <v>0</v>
      </c>
    </row>
    <row r="42" spans="1:12" x14ac:dyDescent="0.6">
      <c r="A42" s="136" t="e">
        <f>#REF!</f>
        <v>#REF!</v>
      </c>
      <c r="B42" s="137"/>
      <c r="C42" s="73"/>
      <c r="D42" s="15"/>
      <c r="E42" s="16"/>
      <c r="F42" s="17"/>
      <c r="G42" s="18"/>
      <c r="H42" s="19"/>
      <c r="I42" s="20"/>
      <c r="J42" s="14"/>
      <c r="K42" s="14"/>
      <c r="L42" s="22">
        <f t="shared" si="0"/>
        <v>0</v>
      </c>
    </row>
    <row r="43" spans="1:12" x14ac:dyDescent="0.6">
      <c r="A43" s="136" t="e">
        <f>#REF!</f>
        <v>#REF!</v>
      </c>
      <c r="B43" s="137"/>
      <c r="C43" s="73"/>
      <c r="D43" s="15"/>
      <c r="E43" s="16"/>
      <c r="F43" s="17"/>
      <c r="G43" s="18"/>
      <c r="H43" s="19"/>
      <c r="I43" s="20"/>
      <c r="J43" s="14"/>
      <c r="K43" s="14"/>
      <c r="L43" s="22">
        <f t="shared" si="0"/>
        <v>0</v>
      </c>
    </row>
    <row r="44" spans="1:12" x14ac:dyDescent="0.6">
      <c r="A44" s="136" t="e">
        <f>#REF!</f>
        <v>#REF!</v>
      </c>
      <c r="B44" s="137"/>
      <c r="C44" s="73"/>
      <c r="D44" s="15"/>
      <c r="E44" s="16"/>
      <c r="F44" s="17"/>
      <c r="G44" s="18"/>
      <c r="H44" s="19"/>
      <c r="I44" s="20"/>
      <c r="J44" s="14"/>
      <c r="K44" s="14"/>
      <c r="L44" s="22">
        <f t="shared" si="0"/>
        <v>0</v>
      </c>
    </row>
    <row r="45" spans="1:12" x14ac:dyDescent="0.6">
      <c r="A45" s="136" t="e">
        <f>#REF!</f>
        <v>#REF!</v>
      </c>
      <c r="B45" s="137"/>
      <c r="C45" s="73"/>
      <c r="D45" s="15"/>
      <c r="E45" s="16"/>
      <c r="F45" s="17"/>
      <c r="G45" s="18"/>
      <c r="H45" s="19"/>
      <c r="I45" s="20"/>
      <c r="J45" s="14"/>
      <c r="K45" s="14"/>
      <c r="L45" s="22">
        <f t="shared" si="0"/>
        <v>0</v>
      </c>
    </row>
    <row r="46" spans="1:12" x14ac:dyDescent="0.6">
      <c r="A46" s="136" t="e">
        <f>#REF!</f>
        <v>#REF!</v>
      </c>
      <c r="B46" s="137"/>
      <c r="C46" s="73"/>
      <c r="D46" s="15"/>
      <c r="E46" s="16"/>
      <c r="F46" s="17"/>
      <c r="G46" s="18"/>
      <c r="H46" s="19"/>
      <c r="I46" s="20"/>
      <c r="J46" s="14"/>
      <c r="K46" s="14"/>
      <c r="L46" s="22">
        <f t="shared" si="0"/>
        <v>0</v>
      </c>
    </row>
    <row r="47" spans="1:12" x14ac:dyDescent="0.6">
      <c r="A47" s="136" t="e">
        <f>#REF!</f>
        <v>#REF!</v>
      </c>
      <c r="B47" s="137"/>
      <c r="C47" s="73"/>
      <c r="D47" s="15"/>
      <c r="E47" s="16"/>
      <c r="F47" s="17"/>
      <c r="G47" s="18"/>
      <c r="H47" s="19"/>
      <c r="I47" s="20"/>
      <c r="J47" s="14"/>
      <c r="K47" s="14"/>
      <c r="L47" s="22">
        <f t="shared" si="0"/>
        <v>0</v>
      </c>
    </row>
    <row r="48" spans="1:12" x14ac:dyDescent="0.6">
      <c r="A48" s="136" t="e">
        <f>#REF!</f>
        <v>#REF!</v>
      </c>
      <c r="B48" s="137"/>
      <c r="C48" s="73"/>
      <c r="D48" s="15"/>
      <c r="E48" s="16"/>
      <c r="F48" s="17"/>
      <c r="G48" s="18"/>
      <c r="H48" s="19"/>
      <c r="I48" s="20"/>
      <c r="J48" s="21"/>
      <c r="K48" s="14"/>
      <c r="L48" s="22">
        <f t="shared" si="0"/>
        <v>0</v>
      </c>
    </row>
    <row r="49" spans="1:12" x14ac:dyDescent="0.6">
      <c r="A49" s="136" t="e">
        <f>#REF!</f>
        <v>#REF!</v>
      </c>
      <c r="B49" s="137"/>
      <c r="C49" s="73"/>
      <c r="D49" s="15"/>
      <c r="E49" s="16"/>
      <c r="F49" s="17"/>
      <c r="G49" s="18"/>
      <c r="H49" s="19"/>
      <c r="I49" s="20"/>
      <c r="J49" s="14"/>
      <c r="K49" s="14"/>
      <c r="L49" s="22">
        <f t="shared" si="0"/>
        <v>0</v>
      </c>
    </row>
    <row r="50" spans="1:12" x14ac:dyDescent="0.6">
      <c r="A50" s="136" t="e">
        <f>#REF!</f>
        <v>#REF!</v>
      </c>
      <c r="B50" s="137"/>
      <c r="C50" s="73"/>
      <c r="D50" s="15"/>
      <c r="E50" s="16"/>
      <c r="F50" s="17"/>
      <c r="G50" s="18"/>
      <c r="H50" s="19"/>
      <c r="I50" s="20"/>
      <c r="J50" s="14"/>
      <c r="K50" s="14"/>
      <c r="L50" s="22">
        <f t="shared" si="0"/>
        <v>0</v>
      </c>
    </row>
    <row r="51" spans="1:12" x14ac:dyDescent="0.6">
      <c r="A51" s="136" t="e">
        <f>#REF!</f>
        <v>#REF!</v>
      </c>
      <c r="B51" s="137"/>
      <c r="C51" s="73"/>
      <c r="D51" s="15"/>
      <c r="E51" s="16"/>
      <c r="F51" s="17"/>
      <c r="G51" s="18"/>
      <c r="H51" s="19"/>
      <c r="I51" s="20"/>
      <c r="J51" s="14"/>
      <c r="K51" s="14"/>
      <c r="L51" s="22">
        <f t="shared" si="0"/>
        <v>0</v>
      </c>
    </row>
    <row r="52" spans="1:12" x14ac:dyDescent="0.6">
      <c r="A52" s="136" t="e">
        <f>#REF!</f>
        <v>#REF!</v>
      </c>
      <c r="B52" s="137"/>
      <c r="C52" s="73"/>
      <c r="D52" s="15"/>
      <c r="E52" s="16"/>
      <c r="F52" s="17"/>
      <c r="G52" s="18"/>
      <c r="H52" s="19"/>
      <c r="I52" s="20"/>
      <c r="J52" s="14"/>
      <c r="K52" s="14"/>
      <c r="L52" s="22">
        <f t="shared" si="0"/>
        <v>0</v>
      </c>
    </row>
    <row r="53" spans="1:12" x14ac:dyDescent="0.6">
      <c r="A53" s="136" t="e">
        <f>#REF!</f>
        <v>#REF!</v>
      </c>
      <c r="B53" s="137"/>
      <c r="C53" s="73"/>
      <c r="D53" s="15"/>
      <c r="E53" s="16"/>
      <c r="F53" s="17"/>
      <c r="G53" s="18"/>
      <c r="H53" s="19"/>
      <c r="I53" s="20"/>
      <c r="J53" s="14"/>
      <c r="K53" s="14"/>
      <c r="L53" s="22">
        <f t="shared" si="0"/>
        <v>0</v>
      </c>
    </row>
    <row r="54" spans="1:12" x14ac:dyDescent="0.6">
      <c r="A54" s="136" t="e">
        <f>#REF!</f>
        <v>#REF!</v>
      </c>
      <c r="B54" s="137"/>
      <c r="C54" s="73"/>
      <c r="D54" s="15"/>
      <c r="E54" s="16"/>
      <c r="F54" s="17"/>
      <c r="G54" s="18"/>
      <c r="H54" s="19"/>
      <c r="I54" s="20"/>
      <c r="J54" s="14"/>
      <c r="K54" s="14"/>
      <c r="L54" s="22">
        <f t="shared" si="0"/>
        <v>0</v>
      </c>
    </row>
    <row r="55" spans="1:12" x14ac:dyDescent="0.6">
      <c r="A55" s="136" t="e">
        <f>#REF!</f>
        <v>#REF!</v>
      </c>
      <c r="B55" s="137"/>
      <c r="C55" s="73"/>
      <c r="D55" s="15"/>
      <c r="E55" s="16"/>
      <c r="F55" s="17"/>
      <c r="G55" s="18"/>
      <c r="H55" s="19"/>
      <c r="I55" s="20"/>
      <c r="J55" s="14"/>
      <c r="K55" s="14"/>
      <c r="L55" s="22">
        <f t="shared" si="0"/>
        <v>0</v>
      </c>
    </row>
    <row r="56" spans="1:12" x14ac:dyDescent="0.6">
      <c r="A56" s="136" t="e">
        <f>#REF!</f>
        <v>#REF!</v>
      </c>
      <c r="B56" s="137"/>
      <c r="C56" s="73"/>
      <c r="D56" s="15"/>
      <c r="E56" s="16"/>
      <c r="F56" s="17"/>
      <c r="G56" s="18"/>
      <c r="H56" s="19"/>
      <c r="I56" s="20"/>
      <c r="J56" s="14"/>
      <c r="K56" s="14"/>
      <c r="L56" s="22">
        <f t="shared" si="0"/>
        <v>0</v>
      </c>
    </row>
    <row r="57" spans="1:12" x14ac:dyDescent="0.6">
      <c r="A57" s="136" t="e">
        <f>#REF!</f>
        <v>#REF!</v>
      </c>
      <c r="B57" s="137"/>
      <c r="C57" s="73"/>
      <c r="D57" s="15"/>
      <c r="E57" s="16"/>
      <c r="F57" s="17"/>
      <c r="G57" s="18"/>
      <c r="H57" s="19"/>
      <c r="I57" s="20"/>
      <c r="J57" s="14"/>
      <c r="K57" s="14"/>
      <c r="L57" s="22">
        <f t="shared" si="0"/>
        <v>0</v>
      </c>
    </row>
    <row r="58" spans="1:12" x14ac:dyDescent="0.6">
      <c r="A58" s="136" t="e">
        <f>#REF!</f>
        <v>#REF!</v>
      </c>
      <c r="B58" s="137"/>
      <c r="C58" s="73"/>
      <c r="D58" s="15"/>
      <c r="E58" s="16"/>
      <c r="F58" s="17"/>
      <c r="G58" s="18"/>
      <c r="H58" s="19"/>
      <c r="I58" s="20"/>
      <c r="J58" s="21"/>
      <c r="K58" s="14"/>
      <c r="L58" s="22">
        <f t="shared" si="0"/>
        <v>0</v>
      </c>
    </row>
    <row r="59" spans="1:12" x14ac:dyDescent="0.6">
      <c r="A59" s="136" t="e">
        <f>#REF!</f>
        <v>#REF!</v>
      </c>
      <c r="B59" s="137"/>
      <c r="C59" s="73"/>
      <c r="D59" s="15"/>
      <c r="E59" s="16"/>
      <c r="F59" s="17"/>
      <c r="G59" s="18"/>
      <c r="H59" s="19"/>
      <c r="I59" s="20"/>
      <c r="J59" s="14"/>
      <c r="K59" s="14"/>
      <c r="L59" s="22">
        <f t="shared" si="0"/>
        <v>0</v>
      </c>
    </row>
    <row r="60" spans="1:12" x14ac:dyDescent="0.6">
      <c r="A60" s="136" t="e">
        <f>#REF!</f>
        <v>#REF!</v>
      </c>
      <c r="B60" s="137"/>
      <c r="C60" s="73"/>
      <c r="D60" s="15"/>
      <c r="E60" s="16"/>
      <c r="F60" s="17"/>
      <c r="G60" s="18"/>
      <c r="H60" s="19"/>
      <c r="I60" s="20"/>
      <c r="J60" s="14"/>
      <c r="K60" s="14"/>
      <c r="L60" s="22">
        <f t="shared" si="0"/>
        <v>0</v>
      </c>
    </row>
    <row r="61" spans="1:12" x14ac:dyDescent="0.6">
      <c r="A61" s="136" t="e">
        <f>#REF!</f>
        <v>#REF!</v>
      </c>
      <c r="B61" s="137"/>
      <c r="C61" s="73"/>
      <c r="D61" s="15"/>
      <c r="E61" s="16"/>
      <c r="F61" s="17"/>
      <c r="G61" s="18"/>
      <c r="H61" s="19"/>
      <c r="I61" s="20"/>
      <c r="J61" s="14"/>
      <c r="K61" s="14"/>
      <c r="L61" s="22">
        <f t="shared" si="0"/>
        <v>0</v>
      </c>
    </row>
    <row r="62" spans="1:12" x14ac:dyDescent="0.6">
      <c r="A62" s="136" t="e">
        <f>#REF!</f>
        <v>#REF!</v>
      </c>
      <c r="B62" s="137"/>
      <c r="C62" s="73"/>
      <c r="D62" s="15"/>
      <c r="E62" s="16"/>
      <c r="F62" s="17"/>
      <c r="G62" s="18"/>
      <c r="H62" s="19"/>
      <c r="I62" s="20"/>
      <c r="J62" s="14"/>
      <c r="K62" s="14"/>
      <c r="L62" s="22">
        <f t="shared" si="0"/>
        <v>0</v>
      </c>
    </row>
    <row r="63" spans="1:12" x14ac:dyDescent="0.6">
      <c r="A63" s="136" t="e">
        <f>#REF!</f>
        <v>#REF!</v>
      </c>
      <c r="B63" s="137"/>
      <c r="C63" s="73"/>
      <c r="D63" s="15"/>
      <c r="E63" s="16"/>
      <c r="F63" s="17"/>
      <c r="G63" s="18"/>
      <c r="H63" s="19"/>
      <c r="I63" s="20"/>
      <c r="J63" s="14"/>
      <c r="K63" s="14"/>
      <c r="L63" s="22">
        <f t="shared" si="0"/>
        <v>0</v>
      </c>
    </row>
    <row r="64" spans="1:12" x14ac:dyDescent="0.6">
      <c r="A64" s="143" t="s">
        <v>26</v>
      </c>
      <c r="B64" s="115"/>
      <c r="C64" s="97">
        <f t="shared" ref="C64:J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129">
        <f t="shared" si="1"/>
        <v>0</v>
      </c>
      <c r="K64" s="115"/>
      <c r="L64" s="98">
        <f>SUM(L33:L63)</f>
        <v>0</v>
      </c>
    </row>
    <row r="65" spans="1:12" x14ac:dyDescent="0.6">
      <c r="A65" s="123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6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6">
      <c r="A67" s="113" t="s">
        <v>28</v>
      </c>
      <c r="B67" s="114"/>
      <c r="C67" s="115"/>
      <c r="D67" s="113" t="s">
        <v>224</v>
      </c>
      <c r="E67" s="114"/>
      <c r="F67" s="114"/>
      <c r="G67" s="114"/>
      <c r="H67" s="115"/>
      <c r="I67" s="113"/>
      <c r="J67" s="114"/>
      <c r="K67" s="114"/>
      <c r="L67" s="115"/>
    </row>
    <row r="68" spans="1:12" x14ac:dyDescent="0.6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6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6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3">
    <mergeCell ref="A3:L4"/>
    <mergeCell ref="A5:L6"/>
    <mergeCell ref="A7:D8"/>
    <mergeCell ref="E7:H8"/>
    <mergeCell ref="I7:L8"/>
    <mergeCell ref="A9:B10"/>
    <mergeCell ref="C9:C10"/>
    <mergeCell ref="D9:D10"/>
    <mergeCell ref="E9:F10"/>
    <mergeCell ref="G9:I10"/>
    <mergeCell ref="A13:B14"/>
    <mergeCell ref="C13:C14"/>
    <mergeCell ref="D13:D14"/>
    <mergeCell ref="E13:F14"/>
    <mergeCell ref="G13:I14"/>
    <mergeCell ref="J13:L14"/>
    <mergeCell ref="J9:L10"/>
    <mergeCell ref="A11:B12"/>
    <mergeCell ref="C11:C12"/>
    <mergeCell ref="D11:D12"/>
    <mergeCell ref="E11:F12"/>
    <mergeCell ref="G11:I12"/>
    <mergeCell ref="J11:L12"/>
    <mergeCell ref="A17:B18"/>
    <mergeCell ref="C17:C18"/>
    <mergeCell ref="D17:D18"/>
    <mergeCell ref="E17:F18"/>
    <mergeCell ref="G17:H18"/>
    <mergeCell ref="I17:L18"/>
    <mergeCell ref="A15:B16"/>
    <mergeCell ref="C15:C16"/>
    <mergeCell ref="D15:D16"/>
    <mergeCell ref="E15:F16"/>
    <mergeCell ref="G15:I16"/>
    <mergeCell ref="J15:L16"/>
    <mergeCell ref="A21:B22"/>
    <mergeCell ref="C21:C22"/>
    <mergeCell ref="D21:D22"/>
    <mergeCell ref="E21:F22"/>
    <mergeCell ref="G21:H22"/>
    <mergeCell ref="I21:L22"/>
    <mergeCell ref="A19:B20"/>
    <mergeCell ref="C19:C20"/>
    <mergeCell ref="D19:D20"/>
    <mergeCell ref="E19:F20"/>
    <mergeCell ref="G19:H20"/>
    <mergeCell ref="I19:L20"/>
    <mergeCell ref="A23:B26"/>
    <mergeCell ref="C23:C24"/>
    <mergeCell ref="D23:D24"/>
    <mergeCell ref="E23:F24"/>
    <mergeCell ref="G23:H24"/>
    <mergeCell ref="I23:L24"/>
    <mergeCell ref="C25:C26"/>
    <mergeCell ref="D25:D26"/>
    <mergeCell ref="E25:F26"/>
    <mergeCell ref="G25:L26"/>
    <mergeCell ref="A33:B33"/>
    <mergeCell ref="A34:B34"/>
    <mergeCell ref="A35:B35"/>
    <mergeCell ref="A36:B36"/>
    <mergeCell ref="A37:B37"/>
    <mergeCell ref="A38:B38"/>
    <mergeCell ref="A27:C28"/>
    <mergeCell ref="D27:F30"/>
    <mergeCell ref="G27:L30"/>
    <mergeCell ref="A29:C30"/>
    <mergeCell ref="A31:L31"/>
    <mergeCell ref="A32:B32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57:B57"/>
    <mergeCell ref="A58:B58"/>
    <mergeCell ref="A59:B59"/>
    <mergeCell ref="A60:B60"/>
    <mergeCell ref="A61:B61"/>
    <mergeCell ref="A62:B62"/>
    <mergeCell ref="A51:B51"/>
    <mergeCell ref="A52:B52"/>
    <mergeCell ref="A53:B53"/>
    <mergeCell ref="A54:B54"/>
    <mergeCell ref="A55:B55"/>
    <mergeCell ref="A56:B56"/>
    <mergeCell ref="A69:C70"/>
    <mergeCell ref="D69:H70"/>
    <mergeCell ref="I69:L70"/>
    <mergeCell ref="A63:B63"/>
    <mergeCell ref="A64:B64"/>
    <mergeCell ref="J64:K64"/>
    <mergeCell ref="A65:L66"/>
    <mergeCell ref="A67:C68"/>
    <mergeCell ref="D67:H68"/>
    <mergeCell ref="I67:L68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411FA-A1A8-4299-88C2-B93097501E87}">
  <dimension ref="A1:L70"/>
  <sheetViews>
    <sheetView workbookViewId="0">
      <selection activeCell="A7" sqref="A7:D8"/>
    </sheetView>
  </sheetViews>
  <sheetFormatPr defaultRowHeight="16.899999999999999" x14ac:dyDescent="0.6"/>
  <cols>
    <col min="1" max="3" width="9.0625" bestFit="1" customWidth="1"/>
    <col min="4" max="4" width="10.625" bestFit="1" customWidth="1"/>
    <col min="5" max="11" width="9.0625" bestFit="1" customWidth="1"/>
    <col min="12" max="12" width="9.5625" bestFit="1" customWidth="1"/>
  </cols>
  <sheetData>
    <row r="1" spans="1:12" x14ac:dyDescent="0.6">
      <c r="A1" s="70">
        <v>1</v>
      </c>
      <c r="B1" s="2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6">
      <c r="A2" s="71">
        <v>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3" spans="1:12" x14ac:dyDescent="0.6">
      <c r="A3" s="160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6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6">
      <c r="A5" s="162" t="s">
        <v>225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6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x14ac:dyDescent="0.6">
      <c r="A7" s="123" t="s">
        <v>213</v>
      </c>
      <c r="B7" s="157"/>
      <c r="C7" s="157"/>
      <c r="D7" s="157"/>
      <c r="E7" s="184" t="s">
        <v>2</v>
      </c>
      <c r="F7" s="184"/>
      <c r="G7" s="184"/>
      <c r="H7" s="185"/>
      <c r="I7" s="168" t="s">
        <v>38</v>
      </c>
      <c r="J7" s="169"/>
      <c r="K7" s="169"/>
      <c r="L7" s="170"/>
    </row>
    <row r="8" spans="1:12" x14ac:dyDescent="0.6">
      <c r="A8" s="158"/>
      <c r="B8" s="159"/>
      <c r="C8" s="159"/>
      <c r="D8" s="159"/>
      <c r="E8" s="186"/>
      <c r="F8" s="186"/>
      <c r="G8" s="186"/>
      <c r="H8" s="187"/>
      <c r="I8" s="171"/>
      <c r="J8" s="172"/>
      <c r="K8" s="172"/>
      <c r="L8" s="173"/>
    </row>
    <row r="9" spans="1:12" x14ac:dyDescent="0.6">
      <c r="A9" s="155" t="s">
        <v>4</v>
      </c>
      <c r="B9" s="146"/>
      <c r="C9" s="155" t="s">
        <v>5</v>
      </c>
      <c r="D9" s="155" t="s">
        <v>6</v>
      </c>
      <c r="E9" s="155" t="s">
        <v>7</v>
      </c>
      <c r="F9" s="146"/>
      <c r="G9" s="155" t="s">
        <v>8</v>
      </c>
      <c r="H9" s="151"/>
      <c r="I9" s="146"/>
      <c r="J9" s="167">
        <f>D64+E64</f>
        <v>0</v>
      </c>
      <c r="K9" s="151"/>
      <c r="L9" s="146"/>
    </row>
    <row r="10" spans="1:12" x14ac:dyDescent="0.6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6">
      <c r="A11" s="145" t="s">
        <v>39</v>
      </c>
      <c r="B11" s="146"/>
      <c r="C11" s="145">
        <f>C64</f>
        <v>0</v>
      </c>
      <c r="D11" s="145">
        <v>1900</v>
      </c>
      <c r="E11" s="145">
        <f>D11*C11</f>
        <v>0</v>
      </c>
      <c r="F11" s="146"/>
      <c r="G11" s="145" t="s">
        <v>10</v>
      </c>
      <c r="H11" s="151"/>
      <c r="I11" s="146"/>
      <c r="J11" s="167">
        <f>C25-J9</f>
        <v>0</v>
      </c>
      <c r="K11" s="151"/>
      <c r="L11" s="146"/>
    </row>
    <row r="12" spans="1:12" x14ac:dyDescent="0.6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6">
      <c r="A13" s="145" t="s">
        <v>11</v>
      </c>
      <c r="B13" s="146"/>
      <c r="C13" s="145">
        <f>D64</f>
        <v>0</v>
      </c>
      <c r="D13" s="145">
        <v>11000</v>
      </c>
      <c r="E13" s="145">
        <f>D13*C13</f>
        <v>0</v>
      </c>
      <c r="F13" s="146"/>
      <c r="G13" s="145"/>
      <c r="H13" s="151"/>
      <c r="I13" s="146"/>
      <c r="J13" s="145"/>
      <c r="K13" s="151"/>
      <c r="L13" s="146"/>
    </row>
    <row r="14" spans="1:12" x14ac:dyDescent="0.6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6">
      <c r="A15" s="145" t="s">
        <v>12</v>
      </c>
      <c r="B15" s="146"/>
      <c r="C15" s="145">
        <f>E64</f>
        <v>0</v>
      </c>
      <c r="D15" s="145">
        <v>13000</v>
      </c>
      <c r="E15" s="145">
        <f>D15*C15</f>
        <v>0</v>
      </c>
      <c r="F15" s="146"/>
      <c r="G15" s="145"/>
      <c r="H15" s="151"/>
      <c r="I15" s="146"/>
      <c r="J15" s="145"/>
      <c r="K15" s="151"/>
      <c r="L15" s="146"/>
    </row>
    <row r="16" spans="1:12" x14ac:dyDescent="0.6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6">
      <c r="A17" s="145" t="s">
        <v>13</v>
      </c>
      <c r="B17" s="146"/>
      <c r="C17" s="145">
        <f>G64</f>
        <v>0</v>
      </c>
      <c r="D17" s="119">
        <v>4500</v>
      </c>
      <c r="E17" s="145">
        <f>D17*C17</f>
        <v>0</v>
      </c>
      <c r="F17" s="146"/>
      <c r="G17" s="119" t="s">
        <v>14</v>
      </c>
      <c r="H17" s="120"/>
      <c r="I17" s="156">
        <f>E11+E13+E15+E17+E19+E21-E25</f>
        <v>0</v>
      </c>
      <c r="J17" s="140"/>
      <c r="K17" s="140"/>
      <c r="L17" s="120"/>
    </row>
    <row r="18" spans="1:12" x14ac:dyDescent="0.6">
      <c r="A18" s="147"/>
      <c r="B18" s="148"/>
      <c r="C18" s="149"/>
      <c r="D18" s="150"/>
      <c r="E18" s="147"/>
      <c r="F18" s="148"/>
      <c r="G18" s="141"/>
      <c r="H18" s="144"/>
      <c r="I18" s="141"/>
      <c r="J18" s="142"/>
      <c r="K18" s="142"/>
      <c r="L18" s="144"/>
    </row>
    <row r="19" spans="1:12" x14ac:dyDescent="0.6">
      <c r="A19" s="145" t="s">
        <v>15</v>
      </c>
      <c r="B19" s="146"/>
      <c r="C19" s="145">
        <f>H64</f>
        <v>0</v>
      </c>
      <c r="D19" s="119">
        <v>5000</v>
      </c>
      <c r="E19" s="145">
        <f>D19*C19</f>
        <v>0</v>
      </c>
      <c r="F19" s="146"/>
      <c r="G19" s="119" t="s">
        <v>40</v>
      </c>
      <c r="H19" s="120"/>
      <c r="I19" s="156">
        <v>0</v>
      </c>
      <c r="J19" s="140"/>
      <c r="K19" s="140"/>
      <c r="L19" s="120"/>
    </row>
    <row r="20" spans="1:12" x14ac:dyDescent="0.6">
      <c r="A20" s="147"/>
      <c r="B20" s="148"/>
      <c r="C20" s="149"/>
      <c r="D20" s="150"/>
      <c r="E20" s="147"/>
      <c r="F20" s="148"/>
      <c r="G20" s="141"/>
      <c r="H20" s="144"/>
      <c r="I20" s="141"/>
      <c r="J20" s="142"/>
      <c r="K20" s="142"/>
      <c r="L20" s="144"/>
    </row>
    <row r="21" spans="1:12" x14ac:dyDescent="0.6">
      <c r="A21" s="145" t="s">
        <v>17</v>
      </c>
      <c r="B21" s="146"/>
      <c r="C21" s="145">
        <f>I64</f>
        <v>0</v>
      </c>
      <c r="D21" s="145">
        <v>6500</v>
      </c>
      <c r="E21" s="145">
        <f>D21*C21</f>
        <v>0</v>
      </c>
      <c r="F21" s="146"/>
      <c r="G21" s="119" t="s">
        <v>41</v>
      </c>
      <c r="H21" s="120"/>
      <c r="I21" s="156"/>
      <c r="J21" s="140"/>
      <c r="K21" s="140"/>
      <c r="L21" s="120"/>
    </row>
    <row r="22" spans="1:12" x14ac:dyDescent="0.6">
      <c r="A22" s="147"/>
      <c r="B22" s="148"/>
      <c r="C22" s="149"/>
      <c r="D22" s="149"/>
      <c r="E22" s="147"/>
      <c r="F22" s="148"/>
      <c r="G22" s="141"/>
      <c r="H22" s="144"/>
      <c r="I22" s="141"/>
      <c r="J22" s="142"/>
      <c r="K22" s="142"/>
      <c r="L22" s="144"/>
    </row>
    <row r="23" spans="1:12" x14ac:dyDescent="0.6">
      <c r="A23" s="119" t="s">
        <v>19</v>
      </c>
      <c r="B23" s="120"/>
      <c r="C23" s="119" t="s">
        <v>5</v>
      </c>
      <c r="D23" s="119" t="s">
        <v>6</v>
      </c>
      <c r="E23" s="119" t="s">
        <v>7</v>
      </c>
      <c r="F23" s="120"/>
      <c r="G23" s="119"/>
      <c r="H23" s="120"/>
      <c r="I23" s="156"/>
      <c r="J23" s="140"/>
      <c r="K23" s="140"/>
      <c r="L23" s="120"/>
    </row>
    <row r="24" spans="1:12" ht="17.25" thickBot="1" x14ac:dyDescent="0.65">
      <c r="A24" s="121"/>
      <c r="B24" s="122"/>
      <c r="C24" s="150"/>
      <c r="D24" s="150"/>
      <c r="E24" s="141"/>
      <c r="F24" s="144"/>
      <c r="G24" s="121"/>
      <c r="H24" s="122"/>
      <c r="I24" s="121"/>
      <c r="J24" s="183"/>
      <c r="K24" s="183"/>
      <c r="L24" s="122"/>
    </row>
    <row r="25" spans="1:12" x14ac:dyDescent="0.6">
      <c r="A25" s="121"/>
      <c r="B25" s="122"/>
      <c r="C25" s="119">
        <f>F64</f>
        <v>0</v>
      </c>
      <c r="D25" s="139">
        <v>3000</v>
      </c>
      <c r="E25" s="139">
        <f>D25*C25</f>
        <v>0</v>
      </c>
      <c r="F25" s="140"/>
      <c r="G25" s="130" t="s">
        <v>20</v>
      </c>
      <c r="H25" s="131"/>
      <c r="I25" s="131"/>
      <c r="J25" s="131"/>
      <c r="K25" s="131"/>
      <c r="L25" s="132"/>
    </row>
    <row r="26" spans="1:12" x14ac:dyDescent="0.6">
      <c r="A26" s="141"/>
      <c r="B26" s="144"/>
      <c r="C26" s="150"/>
      <c r="D26" s="150"/>
      <c r="E26" s="141"/>
      <c r="F26" s="142"/>
      <c r="G26" s="133"/>
      <c r="H26" s="134"/>
      <c r="I26" s="134"/>
      <c r="J26" s="134"/>
      <c r="K26" s="134"/>
      <c r="L26" s="135"/>
    </row>
    <row r="27" spans="1:12" x14ac:dyDescent="0.6">
      <c r="A27" s="189" t="s">
        <v>21</v>
      </c>
      <c r="B27" s="151"/>
      <c r="C27" s="146"/>
      <c r="D27" s="145">
        <f>E11+E13+E15+E17+E19+E21-E25</f>
        <v>0</v>
      </c>
      <c r="E27" s="151"/>
      <c r="F27" s="151"/>
      <c r="G27" s="174">
        <f>I17+I19-I21</f>
        <v>0</v>
      </c>
      <c r="H27" s="175"/>
      <c r="I27" s="175"/>
      <c r="J27" s="175"/>
      <c r="K27" s="175"/>
      <c r="L27" s="176"/>
    </row>
    <row r="28" spans="1:12" x14ac:dyDescent="0.6">
      <c r="A28" s="152"/>
      <c r="B28" s="153"/>
      <c r="C28" s="166"/>
      <c r="D28" s="152"/>
      <c r="E28" s="153"/>
      <c r="F28" s="153"/>
      <c r="G28" s="177"/>
      <c r="H28" s="178"/>
      <c r="I28" s="178"/>
      <c r="J28" s="178"/>
      <c r="K28" s="178"/>
      <c r="L28" s="179"/>
    </row>
    <row r="29" spans="1:12" x14ac:dyDescent="0.6">
      <c r="A29" s="165" t="s">
        <v>22</v>
      </c>
      <c r="B29" s="153"/>
      <c r="C29" s="166"/>
      <c r="D29" s="152"/>
      <c r="E29" s="153"/>
      <c r="F29" s="153"/>
      <c r="G29" s="177"/>
      <c r="H29" s="178"/>
      <c r="I29" s="178"/>
      <c r="J29" s="178"/>
      <c r="K29" s="178"/>
      <c r="L29" s="179"/>
    </row>
    <row r="30" spans="1:12" ht="17.25" thickBot="1" x14ac:dyDescent="0.65">
      <c r="A30" s="147"/>
      <c r="B30" s="154"/>
      <c r="C30" s="148"/>
      <c r="D30" s="147"/>
      <c r="E30" s="154"/>
      <c r="F30" s="154"/>
      <c r="G30" s="180"/>
      <c r="H30" s="181"/>
      <c r="I30" s="181"/>
      <c r="J30" s="181"/>
      <c r="K30" s="181"/>
      <c r="L30" s="182"/>
    </row>
    <row r="31" spans="1:12" ht="18.399999999999999" x14ac:dyDescent="0.6">
      <c r="A31" s="155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6">
      <c r="A32" s="138" t="s">
        <v>23</v>
      </c>
      <c r="B32" s="137"/>
      <c r="C32" s="72" t="s">
        <v>9</v>
      </c>
      <c r="D32" s="7" t="s">
        <v>11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13"/>
      <c r="K32" s="14"/>
      <c r="L32" s="5" t="s">
        <v>26</v>
      </c>
    </row>
    <row r="33" spans="1:12" x14ac:dyDescent="0.6">
      <c r="A33" s="136" t="e">
        <f>#REF!</f>
        <v>#REF!</v>
      </c>
      <c r="B33" s="137"/>
      <c r="C33" s="73"/>
      <c r="D33" s="15"/>
      <c r="E33" s="16"/>
      <c r="F33" s="17"/>
      <c r="G33" s="18"/>
      <c r="H33" s="19"/>
      <c r="I33" s="20"/>
      <c r="J33" s="21"/>
      <c r="K33" s="14"/>
      <c r="L33" s="22">
        <f t="shared" ref="L33:L63" si="0">I33*6500+H33*5000+G33*4500-F33*3000+E33*13000+D33*11000+C33*1900</f>
        <v>0</v>
      </c>
    </row>
    <row r="34" spans="1:12" x14ac:dyDescent="0.6">
      <c r="A34" s="136" t="e">
        <f>#REF!</f>
        <v>#REF!</v>
      </c>
      <c r="B34" s="137"/>
      <c r="C34" s="73"/>
      <c r="D34" s="15"/>
      <c r="E34" s="16"/>
      <c r="F34" s="17"/>
      <c r="G34" s="18"/>
      <c r="H34" s="19"/>
      <c r="I34" s="20"/>
      <c r="J34" s="14"/>
      <c r="K34" s="14"/>
      <c r="L34" s="22">
        <f t="shared" si="0"/>
        <v>0</v>
      </c>
    </row>
    <row r="35" spans="1:12" x14ac:dyDescent="0.6">
      <c r="A35" s="136" t="e">
        <f>#REF!</f>
        <v>#REF!</v>
      </c>
      <c r="B35" s="137"/>
      <c r="C35" s="73"/>
      <c r="D35" s="15"/>
      <c r="E35" s="16"/>
      <c r="F35" s="17"/>
      <c r="G35" s="18"/>
      <c r="H35" s="19"/>
      <c r="I35" s="20"/>
      <c r="J35" s="14"/>
      <c r="K35" s="14"/>
      <c r="L35" s="22">
        <f t="shared" si="0"/>
        <v>0</v>
      </c>
    </row>
    <row r="36" spans="1:12" x14ac:dyDescent="0.6">
      <c r="A36" s="136" t="e">
        <f>#REF!</f>
        <v>#REF!</v>
      </c>
      <c r="B36" s="137"/>
      <c r="C36" s="73"/>
      <c r="D36" s="15"/>
      <c r="E36" s="16"/>
      <c r="F36" s="17"/>
      <c r="G36" s="18"/>
      <c r="H36" s="19"/>
      <c r="I36" s="20"/>
      <c r="J36" s="14"/>
      <c r="K36" s="14"/>
      <c r="L36" s="22">
        <f t="shared" si="0"/>
        <v>0</v>
      </c>
    </row>
    <row r="37" spans="1:12" x14ac:dyDescent="0.6">
      <c r="A37" s="136" t="e">
        <f>#REF!</f>
        <v>#REF!</v>
      </c>
      <c r="B37" s="137"/>
      <c r="C37" s="73"/>
      <c r="D37" s="15"/>
      <c r="E37" s="16"/>
      <c r="F37" s="17"/>
      <c r="G37" s="18"/>
      <c r="H37" s="19"/>
      <c r="I37" s="20"/>
      <c r="J37" s="14"/>
      <c r="K37" s="14"/>
      <c r="L37" s="22">
        <f t="shared" si="0"/>
        <v>0</v>
      </c>
    </row>
    <row r="38" spans="1:12" x14ac:dyDescent="0.6">
      <c r="A38" s="136" t="e">
        <f>#REF!</f>
        <v>#REF!</v>
      </c>
      <c r="B38" s="137"/>
      <c r="C38" s="73"/>
      <c r="D38" s="15"/>
      <c r="E38" s="16"/>
      <c r="F38" s="17"/>
      <c r="G38" s="18"/>
      <c r="H38" s="19"/>
      <c r="I38" s="20"/>
      <c r="J38" s="14"/>
      <c r="K38" s="14"/>
      <c r="L38" s="22">
        <f t="shared" si="0"/>
        <v>0</v>
      </c>
    </row>
    <row r="39" spans="1:12" x14ac:dyDescent="0.6">
      <c r="A39" s="136" t="e">
        <f>#REF!</f>
        <v>#REF!</v>
      </c>
      <c r="B39" s="137"/>
      <c r="C39" s="73"/>
      <c r="D39" s="15"/>
      <c r="E39" s="16"/>
      <c r="F39" s="17"/>
      <c r="G39" s="18"/>
      <c r="H39" s="19"/>
      <c r="I39" s="20"/>
      <c r="J39" s="14"/>
      <c r="K39" s="14"/>
      <c r="L39" s="22">
        <f t="shared" si="0"/>
        <v>0</v>
      </c>
    </row>
    <row r="40" spans="1:12" x14ac:dyDescent="0.6">
      <c r="A40" s="136" t="e">
        <f>#REF!</f>
        <v>#REF!</v>
      </c>
      <c r="B40" s="137"/>
      <c r="C40" s="73"/>
      <c r="D40" s="15"/>
      <c r="E40" s="16"/>
      <c r="F40" s="17"/>
      <c r="G40" s="18"/>
      <c r="H40" s="19"/>
      <c r="I40" s="20"/>
      <c r="J40" s="14"/>
      <c r="K40" s="14"/>
      <c r="L40" s="22">
        <f t="shared" si="0"/>
        <v>0</v>
      </c>
    </row>
    <row r="41" spans="1:12" x14ac:dyDescent="0.6">
      <c r="A41" s="136" t="e">
        <f>#REF!</f>
        <v>#REF!</v>
      </c>
      <c r="B41" s="137"/>
      <c r="C41" s="73"/>
      <c r="D41" s="15"/>
      <c r="E41" s="16"/>
      <c r="F41" s="17"/>
      <c r="G41" s="18"/>
      <c r="H41" s="19"/>
      <c r="I41" s="20"/>
      <c r="J41" s="14"/>
      <c r="K41" s="14"/>
      <c r="L41" s="22">
        <f t="shared" si="0"/>
        <v>0</v>
      </c>
    </row>
    <row r="42" spans="1:12" x14ac:dyDescent="0.6">
      <c r="A42" s="136" t="e">
        <f>#REF!</f>
        <v>#REF!</v>
      </c>
      <c r="B42" s="137"/>
      <c r="C42" s="73"/>
      <c r="D42" s="15"/>
      <c r="E42" s="16"/>
      <c r="F42" s="17"/>
      <c r="G42" s="18"/>
      <c r="H42" s="19"/>
      <c r="I42" s="20"/>
      <c r="J42" s="14"/>
      <c r="K42" s="14"/>
      <c r="L42" s="22">
        <f t="shared" si="0"/>
        <v>0</v>
      </c>
    </row>
    <row r="43" spans="1:12" x14ac:dyDescent="0.6">
      <c r="A43" s="136" t="e">
        <f>#REF!</f>
        <v>#REF!</v>
      </c>
      <c r="B43" s="137"/>
      <c r="C43" s="73"/>
      <c r="D43" s="15"/>
      <c r="E43" s="16"/>
      <c r="F43" s="17"/>
      <c r="G43" s="18"/>
      <c r="H43" s="19"/>
      <c r="I43" s="20"/>
      <c r="J43" s="14"/>
      <c r="K43" s="14"/>
      <c r="L43" s="22">
        <f t="shared" si="0"/>
        <v>0</v>
      </c>
    </row>
    <row r="44" spans="1:12" x14ac:dyDescent="0.6">
      <c r="A44" s="136" t="e">
        <f>#REF!</f>
        <v>#REF!</v>
      </c>
      <c r="B44" s="137"/>
      <c r="C44" s="73"/>
      <c r="D44" s="15"/>
      <c r="E44" s="16"/>
      <c r="F44" s="17"/>
      <c r="G44" s="18"/>
      <c r="H44" s="19"/>
      <c r="I44" s="20"/>
      <c r="J44" s="14"/>
      <c r="K44" s="14"/>
      <c r="L44" s="22">
        <f t="shared" si="0"/>
        <v>0</v>
      </c>
    </row>
    <row r="45" spans="1:12" x14ac:dyDescent="0.6">
      <c r="A45" s="136" t="e">
        <f>#REF!</f>
        <v>#REF!</v>
      </c>
      <c r="B45" s="137"/>
      <c r="C45" s="73"/>
      <c r="D45" s="15"/>
      <c r="E45" s="16"/>
      <c r="F45" s="17"/>
      <c r="G45" s="18"/>
      <c r="H45" s="19"/>
      <c r="I45" s="20"/>
      <c r="J45" s="14"/>
      <c r="K45" s="14"/>
      <c r="L45" s="22">
        <f t="shared" si="0"/>
        <v>0</v>
      </c>
    </row>
    <row r="46" spans="1:12" x14ac:dyDescent="0.6">
      <c r="A46" s="136" t="e">
        <f>#REF!</f>
        <v>#REF!</v>
      </c>
      <c r="B46" s="137"/>
      <c r="C46" s="73"/>
      <c r="D46" s="15"/>
      <c r="E46" s="16"/>
      <c r="F46" s="17"/>
      <c r="G46" s="18"/>
      <c r="H46" s="19"/>
      <c r="I46" s="20"/>
      <c r="J46" s="14"/>
      <c r="K46" s="14"/>
      <c r="L46" s="22">
        <f t="shared" si="0"/>
        <v>0</v>
      </c>
    </row>
    <row r="47" spans="1:12" x14ac:dyDescent="0.6">
      <c r="A47" s="136" t="e">
        <f>#REF!</f>
        <v>#REF!</v>
      </c>
      <c r="B47" s="137"/>
      <c r="C47" s="73"/>
      <c r="D47" s="15"/>
      <c r="E47" s="16"/>
      <c r="F47" s="17"/>
      <c r="G47" s="18"/>
      <c r="H47" s="19"/>
      <c r="I47" s="20"/>
      <c r="J47" s="14"/>
      <c r="K47" s="14"/>
      <c r="L47" s="22">
        <f t="shared" si="0"/>
        <v>0</v>
      </c>
    </row>
    <row r="48" spans="1:12" x14ac:dyDescent="0.6">
      <c r="A48" s="136" t="e">
        <f>#REF!</f>
        <v>#REF!</v>
      </c>
      <c r="B48" s="137"/>
      <c r="C48" s="73"/>
      <c r="D48" s="15"/>
      <c r="E48" s="16"/>
      <c r="F48" s="17"/>
      <c r="G48" s="18"/>
      <c r="H48" s="19"/>
      <c r="I48" s="20"/>
      <c r="J48" s="21"/>
      <c r="K48" s="14"/>
      <c r="L48" s="22">
        <f t="shared" si="0"/>
        <v>0</v>
      </c>
    </row>
    <row r="49" spans="1:12" x14ac:dyDescent="0.6">
      <c r="A49" s="136" t="e">
        <f>#REF!</f>
        <v>#REF!</v>
      </c>
      <c r="B49" s="137"/>
      <c r="C49" s="73"/>
      <c r="D49" s="15"/>
      <c r="E49" s="16"/>
      <c r="F49" s="17"/>
      <c r="G49" s="18"/>
      <c r="H49" s="19"/>
      <c r="I49" s="20"/>
      <c r="J49" s="14"/>
      <c r="K49" s="14"/>
      <c r="L49" s="22">
        <f t="shared" si="0"/>
        <v>0</v>
      </c>
    </row>
    <row r="50" spans="1:12" x14ac:dyDescent="0.6">
      <c r="A50" s="136" t="e">
        <f>#REF!</f>
        <v>#REF!</v>
      </c>
      <c r="B50" s="137"/>
      <c r="C50" s="73"/>
      <c r="D50" s="15"/>
      <c r="E50" s="16"/>
      <c r="F50" s="17"/>
      <c r="G50" s="18"/>
      <c r="H50" s="19"/>
      <c r="I50" s="20"/>
      <c r="J50" s="14"/>
      <c r="K50" s="14"/>
      <c r="L50" s="22">
        <f t="shared" si="0"/>
        <v>0</v>
      </c>
    </row>
    <row r="51" spans="1:12" x14ac:dyDescent="0.6">
      <c r="A51" s="136" t="e">
        <f>#REF!</f>
        <v>#REF!</v>
      </c>
      <c r="B51" s="137"/>
      <c r="C51" s="73"/>
      <c r="D51" s="15"/>
      <c r="E51" s="16"/>
      <c r="F51" s="17"/>
      <c r="G51" s="18"/>
      <c r="H51" s="19"/>
      <c r="I51" s="20"/>
      <c r="J51" s="14"/>
      <c r="K51" s="14"/>
      <c r="L51" s="22">
        <f t="shared" si="0"/>
        <v>0</v>
      </c>
    </row>
    <row r="52" spans="1:12" x14ac:dyDescent="0.6">
      <c r="A52" s="136" t="e">
        <f>#REF!</f>
        <v>#REF!</v>
      </c>
      <c r="B52" s="137"/>
      <c r="C52" s="73"/>
      <c r="D52" s="15"/>
      <c r="E52" s="16"/>
      <c r="F52" s="17"/>
      <c r="G52" s="18"/>
      <c r="H52" s="19"/>
      <c r="I52" s="20"/>
      <c r="J52" s="14"/>
      <c r="K52" s="14"/>
      <c r="L52" s="22">
        <f t="shared" si="0"/>
        <v>0</v>
      </c>
    </row>
    <row r="53" spans="1:12" x14ac:dyDescent="0.6">
      <c r="A53" s="136" t="e">
        <f>#REF!</f>
        <v>#REF!</v>
      </c>
      <c r="B53" s="137"/>
      <c r="C53" s="73"/>
      <c r="D53" s="15"/>
      <c r="E53" s="16"/>
      <c r="F53" s="17"/>
      <c r="G53" s="18"/>
      <c r="H53" s="19"/>
      <c r="I53" s="20"/>
      <c r="J53" s="14"/>
      <c r="K53" s="14"/>
      <c r="L53" s="22">
        <f t="shared" si="0"/>
        <v>0</v>
      </c>
    </row>
    <row r="54" spans="1:12" x14ac:dyDescent="0.6">
      <c r="A54" s="136" t="e">
        <f>#REF!</f>
        <v>#REF!</v>
      </c>
      <c r="B54" s="137"/>
      <c r="C54" s="73"/>
      <c r="D54" s="15"/>
      <c r="E54" s="16"/>
      <c r="F54" s="17"/>
      <c r="G54" s="18"/>
      <c r="H54" s="19"/>
      <c r="I54" s="20"/>
      <c r="J54" s="14"/>
      <c r="K54" s="14"/>
      <c r="L54" s="22">
        <f t="shared" si="0"/>
        <v>0</v>
      </c>
    </row>
    <row r="55" spans="1:12" x14ac:dyDescent="0.6">
      <c r="A55" s="136" t="e">
        <f>#REF!</f>
        <v>#REF!</v>
      </c>
      <c r="B55" s="137"/>
      <c r="C55" s="73"/>
      <c r="D55" s="15"/>
      <c r="E55" s="16"/>
      <c r="F55" s="17"/>
      <c r="G55" s="18"/>
      <c r="H55" s="19"/>
      <c r="I55" s="20"/>
      <c r="J55" s="14"/>
      <c r="K55" s="14"/>
      <c r="L55" s="22">
        <f t="shared" si="0"/>
        <v>0</v>
      </c>
    </row>
    <row r="56" spans="1:12" x14ac:dyDescent="0.6">
      <c r="A56" s="136" t="e">
        <f>#REF!</f>
        <v>#REF!</v>
      </c>
      <c r="B56" s="137"/>
      <c r="C56" s="73"/>
      <c r="D56" s="15"/>
      <c r="E56" s="16"/>
      <c r="F56" s="17"/>
      <c r="G56" s="18"/>
      <c r="H56" s="19"/>
      <c r="I56" s="20"/>
      <c r="J56" s="14"/>
      <c r="K56" s="14"/>
      <c r="L56" s="22">
        <f t="shared" si="0"/>
        <v>0</v>
      </c>
    </row>
    <row r="57" spans="1:12" x14ac:dyDescent="0.6">
      <c r="A57" s="136" t="e">
        <f>#REF!</f>
        <v>#REF!</v>
      </c>
      <c r="B57" s="137"/>
      <c r="C57" s="73"/>
      <c r="D57" s="15"/>
      <c r="E57" s="16"/>
      <c r="F57" s="17"/>
      <c r="G57" s="18"/>
      <c r="H57" s="19"/>
      <c r="I57" s="20"/>
      <c r="J57" s="14"/>
      <c r="K57" s="14"/>
      <c r="L57" s="22">
        <f t="shared" si="0"/>
        <v>0</v>
      </c>
    </row>
    <row r="58" spans="1:12" x14ac:dyDescent="0.6">
      <c r="A58" s="136" t="e">
        <f>#REF!</f>
        <v>#REF!</v>
      </c>
      <c r="B58" s="137"/>
      <c r="C58" s="73"/>
      <c r="D58" s="15"/>
      <c r="E58" s="16"/>
      <c r="F58" s="17"/>
      <c r="G58" s="18"/>
      <c r="H58" s="19"/>
      <c r="I58" s="20"/>
      <c r="J58" s="21"/>
      <c r="K58" s="14"/>
      <c r="L58" s="22">
        <f t="shared" si="0"/>
        <v>0</v>
      </c>
    </row>
    <row r="59" spans="1:12" x14ac:dyDescent="0.6">
      <c r="A59" s="136" t="e">
        <f>#REF!</f>
        <v>#REF!</v>
      </c>
      <c r="B59" s="137"/>
      <c r="C59" s="73"/>
      <c r="D59" s="15"/>
      <c r="E59" s="16"/>
      <c r="F59" s="17"/>
      <c r="G59" s="18"/>
      <c r="H59" s="19"/>
      <c r="I59" s="20"/>
      <c r="J59" s="14"/>
      <c r="K59" s="14"/>
      <c r="L59" s="22">
        <f t="shared" si="0"/>
        <v>0</v>
      </c>
    </row>
    <row r="60" spans="1:12" x14ac:dyDescent="0.6">
      <c r="A60" s="136" t="e">
        <f>#REF!</f>
        <v>#REF!</v>
      </c>
      <c r="B60" s="137"/>
      <c r="C60" s="73"/>
      <c r="D60" s="15"/>
      <c r="E60" s="16"/>
      <c r="F60" s="17"/>
      <c r="G60" s="18"/>
      <c r="H60" s="19"/>
      <c r="I60" s="20"/>
      <c r="J60" s="14"/>
      <c r="K60" s="14"/>
      <c r="L60" s="22">
        <f t="shared" si="0"/>
        <v>0</v>
      </c>
    </row>
    <row r="61" spans="1:12" x14ac:dyDescent="0.6">
      <c r="A61" s="136" t="e">
        <f>#REF!</f>
        <v>#REF!</v>
      </c>
      <c r="B61" s="137"/>
      <c r="C61" s="73"/>
      <c r="D61" s="15"/>
      <c r="E61" s="16"/>
      <c r="F61" s="17"/>
      <c r="G61" s="18"/>
      <c r="H61" s="19"/>
      <c r="I61" s="20"/>
      <c r="J61" s="14"/>
      <c r="K61" s="14"/>
      <c r="L61" s="22">
        <f t="shared" si="0"/>
        <v>0</v>
      </c>
    </row>
    <row r="62" spans="1:12" x14ac:dyDescent="0.6">
      <c r="A62" s="136" t="e">
        <f>#REF!</f>
        <v>#REF!</v>
      </c>
      <c r="B62" s="137"/>
      <c r="C62" s="73"/>
      <c r="D62" s="15"/>
      <c r="E62" s="16"/>
      <c r="F62" s="17"/>
      <c r="G62" s="18"/>
      <c r="H62" s="19"/>
      <c r="I62" s="20"/>
      <c r="J62" s="14"/>
      <c r="K62" s="14"/>
      <c r="L62" s="22">
        <f t="shared" si="0"/>
        <v>0</v>
      </c>
    </row>
    <row r="63" spans="1:12" x14ac:dyDescent="0.6">
      <c r="A63" s="136" t="e">
        <f>#REF!</f>
        <v>#REF!</v>
      </c>
      <c r="B63" s="137"/>
      <c r="C63" s="73"/>
      <c r="D63" s="15"/>
      <c r="E63" s="16"/>
      <c r="F63" s="17"/>
      <c r="G63" s="18"/>
      <c r="H63" s="19"/>
      <c r="I63" s="20"/>
      <c r="J63" s="14"/>
      <c r="K63" s="14"/>
      <c r="L63" s="22">
        <f t="shared" si="0"/>
        <v>0</v>
      </c>
    </row>
    <row r="64" spans="1:12" x14ac:dyDescent="0.6">
      <c r="A64" s="143" t="s">
        <v>26</v>
      </c>
      <c r="B64" s="115"/>
      <c r="C64" s="97">
        <f t="shared" ref="C64:J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129">
        <f t="shared" si="1"/>
        <v>0</v>
      </c>
      <c r="K64" s="115"/>
      <c r="L64" s="98">
        <f>SUM(L33:L63)</f>
        <v>0</v>
      </c>
    </row>
    <row r="65" spans="1:12" x14ac:dyDescent="0.6">
      <c r="A65" s="123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6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6">
      <c r="A67" s="113" t="s">
        <v>28</v>
      </c>
      <c r="B67" s="114"/>
      <c r="C67" s="115"/>
      <c r="D67" s="113" t="s">
        <v>225</v>
      </c>
      <c r="E67" s="114"/>
      <c r="F67" s="114"/>
      <c r="G67" s="114"/>
      <c r="H67" s="115"/>
      <c r="I67" s="113"/>
      <c r="J67" s="114"/>
      <c r="K67" s="114"/>
      <c r="L67" s="115"/>
    </row>
    <row r="68" spans="1:12" x14ac:dyDescent="0.6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6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6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3">
    <mergeCell ref="A3:L4"/>
    <mergeCell ref="A5:L6"/>
    <mergeCell ref="A7:D8"/>
    <mergeCell ref="E7:H8"/>
    <mergeCell ref="I7:L8"/>
    <mergeCell ref="A9:B10"/>
    <mergeCell ref="C9:C10"/>
    <mergeCell ref="D9:D10"/>
    <mergeCell ref="E9:F10"/>
    <mergeCell ref="G9:I10"/>
    <mergeCell ref="A13:B14"/>
    <mergeCell ref="C13:C14"/>
    <mergeCell ref="D13:D14"/>
    <mergeCell ref="E13:F14"/>
    <mergeCell ref="G13:I14"/>
    <mergeCell ref="J13:L14"/>
    <mergeCell ref="J9:L10"/>
    <mergeCell ref="A11:B12"/>
    <mergeCell ref="C11:C12"/>
    <mergeCell ref="D11:D12"/>
    <mergeCell ref="E11:F12"/>
    <mergeCell ref="G11:I12"/>
    <mergeCell ref="J11:L12"/>
    <mergeCell ref="A17:B18"/>
    <mergeCell ref="C17:C18"/>
    <mergeCell ref="D17:D18"/>
    <mergeCell ref="E17:F18"/>
    <mergeCell ref="G17:H18"/>
    <mergeCell ref="I17:L18"/>
    <mergeCell ref="A15:B16"/>
    <mergeCell ref="C15:C16"/>
    <mergeCell ref="D15:D16"/>
    <mergeCell ref="E15:F16"/>
    <mergeCell ref="G15:I16"/>
    <mergeCell ref="J15:L16"/>
    <mergeCell ref="A21:B22"/>
    <mergeCell ref="C21:C22"/>
    <mergeCell ref="D21:D22"/>
    <mergeCell ref="E21:F22"/>
    <mergeCell ref="G21:H22"/>
    <mergeCell ref="I21:L22"/>
    <mergeCell ref="A19:B20"/>
    <mergeCell ref="C19:C20"/>
    <mergeCell ref="D19:D20"/>
    <mergeCell ref="E19:F20"/>
    <mergeCell ref="G19:H20"/>
    <mergeCell ref="I19:L20"/>
    <mergeCell ref="A23:B26"/>
    <mergeCell ref="C23:C24"/>
    <mergeCell ref="D23:D24"/>
    <mergeCell ref="E23:F24"/>
    <mergeCell ref="G23:H24"/>
    <mergeCell ref="I23:L24"/>
    <mergeCell ref="C25:C26"/>
    <mergeCell ref="D25:D26"/>
    <mergeCell ref="E25:F26"/>
    <mergeCell ref="G25:L26"/>
    <mergeCell ref="A33:B33"/>
    <mergeCell ref="A34:B34"/>
    <mergeCell ref="A35:B35"/>
    <mergeCell ref="A36:B36"/>
    <mergeCell ref="A37:B37"/>
    <mergeCell ref="A38:B38"/>
    <mergeCell ref="A27:C28"/>
    <mergeCell ref="D27:F30"/>
    <mergeCell ref="G27:L30"/>
    <mergeCell ref="A29:C30"/>
    <mergeCell ref="A31:L31"/>
    <mergeCell ref="A32:B32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57:B57"/>
    <mergeCell ref="A58:B58"/>
    <mergeCell ref="A59:B59"/>
    <mergeCell ref="A60:B60"/>
    <mergeCell ref="A61:B61"/>
    <mergeCell ref="A62:B62"/>
    <mergeCell ref="A51:B51"/>
    <mergeCell ref="A52:B52"/>
    <mergeCell ref="A53:B53"/>
    <mergeCell ref="A54:B54"/>
    <mergeCell ref="A55:B55"/>
    <mergeCell ref="A56:B56"/>
    <mergeCell ref="A69:C70"/>
    <mergeCell ref="D69:H70"/>
    <mergeCell ref="I69:L70"/>
    <mergeCell ref="A63:B63"/>
    <mergeCell ref="A64:B64"/>
    <mergeCell ref="J64:K64"/>
    <mergeCell ref="A65:L66"/>
    <mergeCell ref="A67:C68"/>
    <mergeCell ref="D67:H68"/>
    <mergeCell ref="I67:L68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8F1AA-4F14-4E53-A908-618FADF0AF58}">
  <dimension ref="A1:L70"/>
  <sheetViews>
    <sheetView tabSelected="1" topLeftCell="A13" workbookViewId="0">
      <selection activeCell="A7" sqref="A7:D8"/>
    </sheetView>
  </sheetViews>
  <sheetFormatPr defaultRowHeight="16.899999999999999" x14ac:dyDescent="0.6"/>
  <cols>
    <col min="1" max="3" width="9.0625" bestFit="1" customWidth="1"/>
    <col min="4" max="4" width="10.625" bestFit="1" customWidth="1"/>
    <col min="5" max="11" width="9.0625" bestFit="1" customWidth="1"/>
    <col min="12" max="12" width="9.5625" bestFit="1" customWidth="1"/>
  </cols>
  <sheetData>
    <row r="1" spans="1:12" x14ac:dyDescent="0.6">
      <c r="A1" s="70">
        <v>1</v>
      </c>
      <c r="B1" s="2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6">
      <c r="A2" s="71">
        <v>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3" spans="1:12" x14ac:dyDescent="0.6">
      <c r="A3" s="160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6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6">
      <c r="A5" s="162" t="s">
        <v>226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6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x14ac:dyDescent="0.6">
      <c r="A7" s="123" t="s">
        <v>213</v>
      </c>
      <c r="B7" s="157"/>
      <c r="C7" s="157"/>
      <c r="D7" s="157"/>
      <c r="E7" s="184" t="s">
        <v>2</v>
      </c>
      <c r="F7" s="184"/>
      <c r="G7" s="184"/>
      <c r="H7" s="185"/>
      <c r="I7" s="168" t="s">
        <v>38</v>
      </c>
      <c r="J7" s="169"/>
      <c r="K7" s="169"/>
      <c r="L7" s="170"/>
    </row>
    <row r="8" spans="1:12" x14ac:dyDescent="0.6">
      <c r="A8" s="158"/>
      <c r="B8" s="159"/>
      <c r="C8" s="159"/>
      <c r="D8" s="159"/>
      <c r="E8" s="186"/>
      <c r="F8" s="186"/>
      <c r="G8" s="186"/>
      <c r="H8" s="187"/>
      <c r="I8" s="171"/>
      <c r="J8" s="172"/>
      <c r="K8" s="172"/>
      <c r="L8" s="173"/>
    </row>
    <row r="9" spans="1:12" x14ac:dyDescent="0.6">
      <c r="A9" s="155" t="s">
        <v>4</v>
      </c>
      <c r="B9" s="146"/>
      <c r="C9" s="155" t="s">
        <v>5</v>
      </c>
      <c r="D9" s="155" t="s">
        <v>6</v>
      </c>
      <c r="E9" s="155" t="s">
        <v>7</v>
      </c>
      <c r="F9" s="146"/>
      <c r="G9" s="155" t="s">
        <v>8</v>
      </c>
      <c r="H9" s="151"/>
      <c r="I9" s="146"/>
      <c r="J9" s="167">
        <f>D64+E64</f>
        <v>0</v>
      </c>
      <c r="K9" s="151"/>
      <c r="L9" s="146"/>
    </row>
    <row r="10" spans="1:12" x14ac:dyDescent="0.6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6">
      <c r="A11" s="145" t="s">
        <v>39</v>
      </c>
      <c r="B11" s="146"/>
      <c r="C11" s="145">
        <f>C64</f>
        <v>0</v>
      </c>
      <c r="D11" s="145">
        <v>2000</v>
      </c>
      <c r="E11" s="145">
        <f>D11*C11</f>
        <v>0</v>
      </c>
      <c r="F11" s="146"/>
      <c r="G11" s="145" t="s">
        <v>10</v>
      </c>
      <c r="H11" s="151"/>
      <c r="I11" s="146"/>
      <c r="J11" s="167">
        <f>C25-J9</f>
        <v>0</v>
      </c>
      <c r="K11" s="151"/>
      <c r="L11" s="146"/>
    </row>
    <row r="12" spans="1:12" x14ac:dyDescent="0.6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6">
      <c r="A13" s="145" t="s">
        <v>11</v>
      </c>
      <c r="B13" s="146"/>
      <c r="C13" s="145">
        <f>D64</f>
        <v>0</v>
      </c>
      <c r="D13" s="145">
        <v>13000</v>
      </c>
      <c r="E13" s="145">
        <f>D13*C13</f>
        <v>0</v>
      </c>
      <c r="F13" s="146"/>
      <c r="G13" s="145"/>
      <c r="H13" s="151"/>
      <c r="I13" s="146"/>
      <c r="J13" s="145"/>
      <c r="K13" s="151"/>
      <c r="L13" s="146"/>
    </row>
    <row r="14" spans="1:12" x14ac:dyDescent="0.6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6">
      <c r="A15" s="145" t="s">
        <v>12</v>
      </c>
      <c r="B15" s="146"/>
      <c r="C15" s="145">
        <f>E64</f>
        <v>0</v>
      </c>
      <c r="D15" s="145">
        <v>13000</v>
      </c>
      <c r="E15" s="145">
        <f>D15*C15</f>
        <v>0</v>
      </c>
      <c r="F15" s="146"/>
      <c r="G15" s="145"/>
      <c r="H15" s="151"/>
      <c r="I15" s="146"/>
      <c r="J15" s="145"/>
      <c r="K15" s="151"/>
      <c r="L15" s="146"/>
    </row>
    <row r="16" spans="1:12" x14ac:dyDescent="0.6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6">
      <c r="A17" s="145" t="s">
        <v>13</v>
      </c>
      <c r="B17" s="146"/>
      <c r="C17" s="145">
        <f>G64</f>
        <v>0</v>
      </c>
      <c r="D17" s="119">
        <v>3000</v>
      </c>
      <c r="E17" s="145">
        <f>D17*C17</f>
        <v>0</v>
      </c>
      <c r="F17" s="146"/>
      <c r="G17" s="119" t="s">
        <v>14</v>
      </c>
      <c r="H17" s="120"/>
      <c r="I17" s="156">
        <f>E11+E13+E15+E17+E19+E21-E25</f>
        <v>0</v>
      </c>
      <c r="J17" s="140"/>
      <c r="K17" s="140"/>
      <c r="L17" s="120"/>
    </row>
    <row r="18" spans="1:12" x14ac:dyDescent="0.6">
      <c r="A18" s="147"/>
      <c r="B18" s="148"/>
      <c r="C18" s="149"/>
      <c r="D18" s="150"/>
      <c r="E18" s="147"/>
      <c r="F18" s="148"/>
      <c r="G18" s="141"/>
      <c r="H18" s="144"/>
      <c r="I18" s="141"/>
      <c r="J18" s="142"/>
      <c r="K18" s="142"/>
      <c r="L18" s="144"/>
    </row>
    <row r="19" spans="1:12" x14ac:dyDescent="0.6">
      <c r="A19" s="145" t="s">
        <v>15</v>
      </c>
      <c r="B19" s="146"/>
      <c r="C19" s="145">
        <f>H64</f>
        <v>0</v>
      </c>
      <c r="D19" s="119">
        <v>5500</v>
      </c>
      <c r="E19" s="145">
        <f>D19*C19</f>
        <v>0</v>
      </c>
      <c r="F19" s="146"/>
      <c r="G19" s="119" t="s">
        <v>40</v>
      </c>
      <c r="H19" s="120"/>
      <c r="I19" s="156">
        <v>0</v>
      </c>
      <c r="J19" s="140"/>
      <c r="K19" s="140"/>
      <c r="L19" s="120"/>
    </row>
    <row r="20" spans="1:12" x14ac:dyDescent="0.6">
      <c r="A20" s="147"/>
      <c r="B20" s="148"/>
      <c r="C20" s="149"/>
      <c r="D20" s="150"/>
      <c r="E20" s="147"/>
      <c r="F20" s="148"/>
      <c r="G20" s="141"/>
      <c r="H20" s="144"/>
      <c r="I20" s="141"/>
      <c r="J20" s="142"/>
      <c r="K20" s="142"/>
      <c r="L20" s="144"/>
    </row>
    <row r="21" spans="1:12" x14ac:dyDescent="0.6">
      <c r="A21" s="145" t="s">
        <v>17</v>
      </c>
      <c r="B21" s="146"/>
      <c r="C21" s="145">
        <f>I64</f>
        <v>0</v>
      </c>
      <c r="D21" s="145">
        <v>3800</v>
      </c>
      <c r="E21" s="145">
        <f>D21*C21</f>
        <v>0</v>
      </c>
      <c r="F21" s="146"/>
      <c r="G21" s="119" t="s">
        <v>41</v>
      </c>
      <c r="H21" s="120"/>
      <c r="I21" s="156"/>
      <c r="J21" s="140"/>
      <c r="K21" s="140"/>
      <c r="L21" s="120"/>
    </row>
    <row r="22" spans="1:12" x14ac:dyDescent="0.6">
      <c r="A22" s="147"/>
      <c r="B22" s="148"/>
      <c r="C22" s="149"/>
      <c r="D22" s="149"/>
      <c r="E22" s="147"/>
      <c r="F22" s="148"/>
      <c r="G22" s="141"/>
      <c r="H22" s="144"/>
      <c r="I22" s="141"/>
      <c r="J22" s="142"/>
      <c r="K22" s="142"/>
      <c r="L22" s="144"/>
    </row>
    <row r="23" spans="1:12" x14ac:dyDescent="0.6">
      <c r="A23" s="119" t="s">
        <v>19</v>
      </c>
      <c r="B23" s="120"/>
      <c r="C23" s="119" t="s">
        <v>5</v>
      </c>
      <c r="D23" s="119" t="s">
        <v>6</v>
      </c>
      <c r="E23" s="119" t="s">
        <v>7</v>
      </c>
      <c r="F23" s="120"/>
      <c r="G23" s="119"/>
      <c r="H23" s="120"/>
      <c r="I23" s="156"/>
      <c r="J23" s="140"/>
      <c r="K23" s="140"/>
      <c r="L23" s="120"/>
    </row>
    <row r="24" spans="1:12" ht="17.25" thickBot="1" x14ac:dyDescent="0.65">
      <c r="A24" s="121"/>
      <c r="B24" s="122"/>
      <c r="C24" s="150"/>
      <c r="D24" s="150"/>
      <c r="E24" s="141"/>
      <c r="F24" s="144"/>
      <c r="G24" s="121"/>
      <c r="H24" s="122"/>
      <c r="I24" s="121"/>
      <c r="J24" s="183"/>
      <c r="K24" s="183"/>
      <c r="L24" s="122"/>
    </row>
    <row r="25" spans="1:12" x14ac:dyDescent="0.6">
      <c r="A25" s="121"/>
      <c r="B25" s="122"/>
      <c r="C25" s="119">
        <f>F64</f>
        <v>0</v>
      </c>
      <c r="D25" s="139">
        <v>3000</v>
      </c>
      <c r="E25" s="139">
        <f>D25*C25</f>
        <v>0</v>
      </c>
      <c r="F25" s="140"/>
      <c r="G25" s="130" t="s">
        <v>20</v>
      </c>
      <c r="H25" s="131"/>
      <c r="I25" s="131"/>
      <c r="J25" s="131"/>
      <c r="K25" s="131"/>
      <c r="L25" s="132"/>
    </row>
    <row r="26" spans="1:12" x14ac:dyDescent="0.6">
      <c r="A26" s="141"/>
      <c r="B26" s="144"/>
      <c r="C26" s="150"/>
      <c r="D26" s="150"/>
      <c r="E26" s="141"/>
      <c r="F26" s="142"/>
      <c r="G26" s="133"/>
      <c r="H26" s="134"/>
      <c r="I26" s="134"/>
      <c r="J26" s="134"/>
      <c r="K26" s="134"/>
      <c r="L26" s="135"/>
    </row>
    <row r="27" spans="1:12" x14ac:dyDescent="0.6">
      <c r="A27" s="189" t="s">
        <v>21</v>
      </c>
      <c r="B27" s="151"/>
      <c r="C27" s="146"/>
      <c r="D27" s="145">
        <f>E11+E13+E15+E17+E19+E21-E25</f>
        <v>0</v>
      </c>
      <c r="E27" s="151"/>
      <c r="F27" s="151"/>
      <c r="G27" s="174">
        <f>I17+I19-I21</f>
        <v>0</v>
      </c>
      <c r="H27" s="175"/>
      <c r="I27" s="175"/>
      <c r="J27" s="175"/>
      <c r="K27" s="175"/>
      <c r="L27" s="176"/>
    </row>
    <row r="28" spans="1:12" x14ac:dyDescent="0.6">
      <c r="A28" s="152"/>
      <c r="B28" s="153"/>
      <c r="C28" s="166"/>
      <c r="D28" s="152"/>
      <c r="E28" s="153"/>
      <c r="F28" s="153"/>
      <c r="G28" s="177"/>
      <c r="H28" s="178"/>
      <c r="I28" s="178"/>
      <c r="J28" s="178"/>
      <c r="K28" s="178"/>
      <c r="L28" s="179"/>
    </row>
    <row r="29" spans="1:12" x14ac:dyDescent="0.6">
      <c r="A29" s="165" t="s">
        <v>22</v>
      </c>
      <c r="B29" s="153"/>
      <c r="C29" s="166"/>
      <c r="D29" s="152"/>
      <c r="E29" s="153"/>
      <c r="F29" s="153"/>
      <c r="G29" s="177"/>
      <c r="H29" s="178"/>
      <c r="I29" s="178"/>
      <c r="J29" s="178"/>
      <c r="K29" s="178"/>
      <c r="L29" s="179"/>
    </row>
    <row r="30" spans="1:12" ht="17.25" thickBot="1" x14ac:dyDescent="0.65">
      <c r="A30" s="147"/>
      <c r="B30" s="154"/>
      <c r="C30" s="148"/>
      <c r="D30" s="147"/>
      <c r="E30" s="154"/>
      <c r="F30" s="154"/>
      <c r="G30" s="180"/>
      <c r="H30" s="181"/>
      <c r="I30" s="181"/>
      <c r="J30" s="181"/>
      <c r="K30" s="181"/>
      <c r="L30" s="182"/>
    </row>
    <row r="31" spans="1:12" ht="18.399999999999999" x14ac:dyDescent="0.6">
      <c r="A31" s="155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6">
      <c r="A32" s="138" t="s">
        <v>23</v>
      </c>
      <c r="B32" s="137"/>
      <c r="C32" s="72" t="s">
        <v>9</v>
      </c>
      <c r="D32" s="7" t="s">
        <v>11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13"/>
      <c r="K32" s="14"/>
      <c r="L32" s="5" t="s">
        <v>26</v>
      </c>
    </row>
    <row r="33" spans="1:12" x14ac:dyDescent="0.6">
      <c r="A33" s="136" t="e">
        <f>#REF!</f>
        <v>#REF!</v>
      </c>
      <c r="B33" s="137"/>
      <c r="C33" s="73"/>
      <c r="D33" s="15"/>
      <c r="E33" s="16"/>
      <c r="F33" s="17"/>
      <c r="G33" s="18"/>
      <c r="H33" s="19"/>
      <c r="I33" s="20"/>
      <c r="J33" s="21"/>
      <c r="K33" s="14"/>
      <c r="L33" s="22">
        <f t="shared" ref="L33:L63" si="0">I33*3800+H33*5500+G33*5500-F33*5500+E33*15500+D33*15500+C33*2000</f>
        <v>0</v>
      </c>
    </row>
    <row r="34" spans="1:12" x14ac:dyDescent="0.6">
      <c r="A34" s="136" t="e">
        <f>#REF!</f>
        <v>#REF!</v>
      </c>
      <c r="B34" s="137"/>
      <c r="C34" s="73"/>
      <c r="D34" s="15"/>
      <c r="E34" s="16"/>
      <c r="F34" s="17"/>
      <c r="G34" s="18"/>
      <c r="H34" s="19"/>
      <c r="I34" s="20"/>
      <c r="J34" s="14"/>
      <c r="K34" s="14"/>
      <c r="L34" s="22">
        <f t="shared" si="0"/>
        <v>0</v>
      </c>
    </row>
    <row r="35" spans="1:12" x14ac:dyDescent="0.6">
      <c r="A35" s="136" t="e">
        <f>#REF!</f>
        <v>#REF!</v>
      </c>
      <c r="B35" s="137"/>
      <c r="C35" s="73"/>
      <c r="D35" s="15"/>
      <c r="E35" s="16"/>
      <c r="F35" s="17"/>
      <c r="G35" s="18"/>
      <c r="H35" s="19"/>
      <c r="I35" s="20"/>
      <c r="J35" s="14"/>
      <c r="K35" s="14"/>
      <c r="L35" s="22">
        <f t="shared" si="0"/>
        <v>0</v>
      </c>
    </row>
    <row r="36" spans="1:12" x14ac:dyDescent="0.6">
      <c r="A36" s="136" t="e">
        <f>#REF!</f>
        <v>#REF!</v>
      </c>
      <c r="B36" s="137"/>
      <c r="C36" s="73"/>
      <c r="D36" s="15"/>
      <c r="E36" s="16"/>
      <c r="F36" s="17"/>
      <c r="G36" s="18"/>
      <c r="H36" s="19"/>
      <c r="I36" s="20"/>
      <c r="J36" s="14"/>
      <c r="K36" s="14"/>
      <c r="L36" s="22">
        <f t="shared" si="0"/>
        <v>0</v>
      </c>
    </row>
    <row r="37" spans="1:12" x14ac:dyDescent="0.6">
      <c r="A37" s="136" t="e">
        <f>#REF!</f>
        <v>#REF!</v>
      </c>
      <c r="B37" s="137"/>
      <c r="C37" s="73"/>
      <c r="D37" s="15"/>
      <c r="E37" s="16"/>
      <c r="F37" s="17"/>
      <c r="G37" s="18"/>
      <c r="H37" s="19"/>
      <c r="I37" s="20"/>
      <c r="J37" s="14"/>
      <c r="K37" s="14"/>
      <c r="L37" s="22">
        <f t="shared" si="0"/>
        <v>0</v>
      </c>
    </row>
    <row r="38" spans="1:12" x14ac:dyDescent="0.6">
      <c r="A38" s="136" t="e">
        <f>#REF!</f>
        <v>#REF!</v>
      </c>
      <c r="B38" s="137"/>
      <c r="C38" s="73"/>
      <c r="D38" s="15"/>
      <c r="E38" s="16"/>
      <c r="F38" s="17"/>
      <c r="G38" s="18"/>
      <c r="H38" s="19"/>
      <c r="I38" s="20"/>
      <c r="J38" s="14"/>
      <c r="K38" s="14"/>
      <c r="L38" s="22">
        <f t="shared" si="0"/>
        <v>0</v>
      </c>
    </row>
    <row r="39" spans="1:12" x14ac:dyDescent="0.6">
      <c r="A39" s="136" t="e">
        <f>#REF!</f>
        <v>#REF!</v>
      </c>
      <c r="B39" s="137"/>
      <c r="C39" s="73"/>
      <c r="D39" s="15"/>
      <c r="E39" s="16"/>
      <c r="F39" s="17"/>
      <c r="G39" s="18"/>
      <c r="H39" s="19"/>
      <c r="I39" s="20"/>
      <c r="J39" s="14"/>
      <c r="K39" s="14"/>
      <c r="L39" s="22">
        <f t="shared" si="0"/>
        <v>0</v>
      </c>
    </row>
    <row r="40" spans="1:12" x14ac:dyDescent="0.6">
      <c r="A40" s="136" t="e">
        <f>#REF!</f>
        <v>#REF!</v>
      </c>
      <c r="B40" s="137"/>
      <c r="C40" s="73"/>
      <c r="D40" s="15"/>
      <c r="E40" s="16"/>
      <c r="F40" s="17"/>
      <c r="G40" s="18"/>
      <c r="H40" s="19"/>
      <c r="I40" s="20"/>
      <c r="J40" s="14"/>
      <c r="K40" s="14"/>
      <c r="L40" s="22">
        <f t="shared" si="0"/>
        <v>0</v>
      </c>
    </row>
    <row r="41" spans="1:12" x14ac:dyDescent="0.6">
      <c r="A41" s="136" t="e">
        <f>#REF!</f>
        <v>#REF!</v>
      </c>
      <c r="B41" s="137"/>
      <c r="C41" s="73"/>
      <c r="D41" s="15"/>
      <c r="E41" s="16"/>
      <c r="F41" s="17"/>
      <c r="G41" s="18"/>
      <c r="H41" s="19"/>
      <c r="I41" s="20"/>
      <c r="J41" s="14"/>
      <c r="K41" s="14"/>
      <c r="L41" s="22">
        <f t="shared" si="0"/>
        <v>0</v>
      </c>
    </row>
    <row r="42" spans="1:12" x14ac:dyDescent="0.6">
      <c r="A42" s="136" t="e">
        <f>#REF!</f>
        <v>#REF!</v>
      </c>
      <c r="B42" s="137"/>
      <c r="C42" s="73"/>
      <c r="D42" s="15"/>
      <c r="E42" s="16"/>
      <c r="F42" s="17"/>
      <c r="G42" s="18"/>
      <c r="H42" s="19"/>
      <c r="I42" s="20"/>
      <c r="J42" s="14"/>
      <c r="K42" s="14"/>
      <c r="L42" s="22">
        <f t="shared" si="0"/>
        <v>0</v>
      </c>
    </row>
    <row r="43" spans="1:12" x14ac:dyDescent="0.6">
      <c r="A43" s="136" t="e">
        <f>#REF!</f>
        <v>#REF!</v>
      </c>
      <c r="B43" s="137"/>
      <c r="C43" s="73"/>
      <c r="D43" s="15"/>
      <c r="E43" s="16"/>
      <c r="F43" s="17"/>
      <c r="G43" s="18"/>
      <c r="H43" s="19"/>
      <c r="I43" s="20"/>
      <c r="J43" s="14"/>
      <c r="K43" s="14"/>
      <c r="L43" s="22">
        <f t="shared" si="0"/>
        <v>0</v>
      </c>
    </row>
    <row r="44" spans="1:12" x14ac:dyDescent="0.6">
      <c r="A44" s="136" t="e">
        <f>#REF!</f>
        <v>#REF!</v>
      </c>
      <c r="B44" s="137"/>
      <c r="C44" s="73"/>
      <c r="D44" s="15"/>
      <c r="E44" s="16"/>
      <c r="F44" s="17"/>
      <c r="G44" s="18"/>
      <c r="H44" s="19"/>
      <c r="I44" s="20"/>
      <c r="J44" s="14"/>
      <c r="K44" s="14"/>
      <c r="L44" s="22">
        <f t="shared" si="0"/>
        <v>0</v>
      </c>
    </row>
    <row r="45" spans="1:12" x14ac:dyDescent="0.6">
      <c r="A45" s="136" t="e">
        <f>#REF!</f>
        <v>#REF!</v>
      </c>
      <c r="B45" s="137"/>
      <c r="C45" s="73"/>
      <c r="D45" s="15"/>
      <c r="E45" s="16"/>
      <c r="F45" s="17"/>
      <c r="G45" s="18"/>
      <c r="H45" s="19"/>
      <c r="I45" s="20"/>
      <c r="J45" s="14"/>
      <c r="K45" s="14"/>
      <c r="L45" s="22">
        <f t="shared" si="0"/>
        <v>0</v>
      </c>
    </row>
    <row r="46" spans="1:12" x14ac:dyDescent="0.6">
      <c r="A46" s="136" t="e">
        <f>#REF!</f>
        <v>#REF!</v>
      </c>
      <c r="B46" s="137"/>
      <c r="C46" s="73"/>
      <c r="D46" s="15"/>
      <c r="E46" s="16"/>
      <c r="F46" s="17"/>
      <c r="G46" s="18"/>
      <c r="H46" s="19"/>
      <c r="I46" s="20"/>
      <c r="J46" s="14"/>
      <c r="K46" s="14"/>
      <c r="L46" s="22">
        <f t="shared" si="0"/>
        <v>0</v>
      </c>
    </row>
    <row r="47" spans="1:12" x14ac:dyDescent="0.6">
      <c r="A47" s="136" t="e">
        <f>#REF!</f>
        <v>#REF!</v>
      </c>
      <c r="B47" s="137"/>
      <c r="C47" s="73"/>
      <c r="D47" s="15"/>
      <c r="E47" s="16"/>
      <c r="F47" s="17"/>
      <c r="G47" s="18"/>
      <c r="H47" s="19"/>
      <c r="I47" s="20"/>
      <c r="J47" s="14"/>
      <c r="K47" s="14"/>
      <c r="L47" s="22">
        <f t="shared" si="0"/>
        <v>0</v>
      </c>
    </row>
    <row r="48" spans="1:12" x14ac:dyDescent="0.6">
      <c r="A48" s="136" t="e">
        <f>#REF!</f>
        <v>#REF!</v>
      </c>
      <c r="B48" s="137"/>
      <c r="C48" s="73"/>
      <c r="D48" s="15"/>
      <c r="E48" s="16"/>
      <c r="F48" s="17"/>
      <c r="G48" s="18"/>
      <c r="H48" s="19"/>
      <c r="I48" s="20"/>
      <c r="J48" s="21"/>
      <c r="K48" s="14"/>
      <c r="L48" s="22">
        <f t="shared" si="0"/>
        <v>0</v>
      </c>
    </row>
    <row r="49" spans="1:12" x14ac:dyDescent="0.6">
      <c r="A49" s="136" t="e">
        <f>#REF!</f>
        <v>#REF!</v>
      </c>
      <c r="B49" s="137"/>
      <c r="C49" s="73"/>
      <c r="D49" s="15"/>
      <c r="E49" s="16"/>
      <c r="F49" s="17"/>
      <c r="G49" s="18"/>
      <c r="H49" s="19"/>
      <c r="I49" s="20"/>
      <c r="J49" s="14"/>
      <c r="K49" s="14"/>
      <c r="L49" s="22">
        <f t="shared" si="0"/>
        <v>0</v>
      </c>
    </row>
    <row r="50" spans="1:12" x14ac:dyDescent="0.6">
      <c r="A50" s="136" t="e">
        <f>#REF!</f>
        <v>#REF!</v>
      </c>
      <c r="B50" s="137"/>
      <c r="C50" s="73"/>
      <c r="D50" s="15"/>
      <c r="E50" s="16"/>
      <c r="F50" s="17"/>
      <c r="G50" s="18"/>
      <c r="H50" s="19"/>
      <c r="I50" s="20"/>
      <c r="J50" s="14"/>
      <c r="K50" s="14"/>
      <c r="L50" s="22">
        <f t="shared" si="0"/>
        <v>0</v>
      </c>
    </row>
    <row r="51" spans="1:12" x14ac:dyDescent="0.6">
      <c r="A51" s="136" t="e">
        <f>#REF!</f>
        <v>#REF!</v>
      </c>
      <c r="B51" s="137"/>
      <c r="C51" s="73"/>
      <c r="D51" s="15"/>
      <c r="E51" s="16"/>
      <c r="F51" s="17"/>
      <c r="G51" s="18"/>
      <c r="H51" s="19"/>
      <c r="I51" s="20"/>
      <c r="J51" s="14"/>
      <c r="K51" s="14"/>
      <c r="L51" s="22">
        <f t="shared" si="0"/>
        <v>0</v>
      </c>
    </row>
    <row r="52" spans="1:12" x14ac:dyDescent="0.6">
      <c r="A52" s="136" t="e">
        <f>#REF!</f>
        <v>#REF!</v>
      </c>
      <c r="B52" s="137"/>
      <c r="C52" s="73"/>
      <c r="D52" s="15"/>
      <c r="E52" s="16"/>
      <c r="F52" s="17"/>
      <c r="G52" s="18"/>
      <c r="H52" s="19"/>
      <c r="I52" s="20"/>
      <c r="J52" s="14"/>
      <c r="K52" s="14"/>
      <c r="L52" s="22">
        <f t="shared" si="0"/>
        <v>0</v>
      </c>
    </row>
    <row r="53" spans="1:12" x14ac:dyDescent="0.6">
      <c r="A53" s="136" t="e">
        <f>#REF!</f>
        <v>#REF!</v>
      </c>
      <c r="B53" s="137"/>
      <c r="C53" s="73"/>
      <c r="D53" s="15"/>
      <c r="E53" s="16"/>
      <c r="F53" s="17"/>
      <c r="G53" s="18"/>
      <c r="H53" s="19"/>
      <c r="I53" s="20"/>
      <c r="J53" s="14"/>
      <c r="K53" s="14"/>
      <c r="L53" s="22">
        <f t="shared" si="0"/>
        <v>0</v>
      </c>
    </row>
    <row r="54" spans="1:12" x14ac:dyDescent="0.6">
      <c r="A54" s="136" t="e">
        <f>#REF!</f>
        <v>#REF!</v>
      </c>
      <c r="B54" s="137"/>
      <c r="C54" s="73"/>
      <c r="D54" s="15"/>
      <c r="E54" s="16"/>
      <c r="F54" s="17"/>
      <c r="G54" s="18"/>
      <c r="H54" s="19"/>
      <c r="I54" s="20"/>
      <c r="J54" s="14"/>
      <c r="K54" s="14"/>
      <c r="L54" s="22">
        <f t="shared" si="0"/>
        <v>0</v>
      </c>
    </row>
    <row r="55" spans="1:12" x14ac:dyDescent="0.6">
      <c r="A55" s="136" t="e">
        <f>#REF!</f>
        <v>#REF!</v>
      </c>
      <c r="B55" s="137"/>
      <c r="C55" s="73"/>
      <c r="D55" s="15"/>
      <c r="E55" s="16"/>
      <c r="F55" s="17"/>
      <c r="G55" s="18"/>
      <c r="H55" s="19"/>
      <c r="I55" s="20"/>
      <c r="J55" s="14"/>
      <c r="K55" s="14"/>
      <c r="L55" s="22">
        <f t="shared" si="0"/>
        <v>0</v>
      </c>
    </row>
    <row r="56" spans="1:12" x14ac:dyDescent="0.6">
      <c r="A56" s="136" t="e">
        <f>#REF!</f>
        <v>#REF!</v>
      </c>
      <c r="B56" s="137"/>
      <c r="C56" s="73"/>
      <c r="D56" s="15"/>
      <c r="E56" s="16"/>
      <c r="F56" s="17"/>
      <c r="G56" s="18"/>
      <c r="H56" s="19"/>
      <c r="I56" s="20"/>
      <c r="J56" s="14"/>
      <c r="K56" s="14"/>
      <c r="L56" s="22">
        <f t="shared" si="0"/>
        <v>0</v>
      </c>
    </row>
    <row r="57" spans="1:12" x14ac:dyDescent="0.6">
      <c r="A57" s="136" t="e">
        <f>#REF!</f>
        <v>#REF!</v>
      </c>
      <c r="B57" s="137"/>
      <c r="C57" s="73"/>
      <c r="D57" s="15"/>
      <c r="E57" s="16"/>
      <c r="F57" s="17"/>
      <c r="G57" s="18"/>
      <c r="H57" s="19"/>
      <c r="I57" s="20"/>
      <c r="J57" s="14"/>
      <c r="K57" s="14"/>
      <c r="L57" s="22">
        <f t="shared" si="0"/>
        <v>0</v>
      </c>
    </row>
    <row r="58" spans="1:12" x14ac:dyDescent="0.6">
      <c r="A58" s="136" t="e">
        <f>#REF!</f>
        <v>#REF!</v>
      </c>
      <c r="B58" s="137"/>
      <c r="C58" s="73"/>
      <c r="D58" s="15"/>
      <c r="E58" s="16"/>
      <c r="F58" s="17"/>
      <c r="G58" s="18"/>
      <c r="H58" s="19"/>
      <c r="I58" s="20"/>
      <c r="J58" s="21"/>
      <c r="K58" s="14"/>
      <c r="L58" s="22">
        <f t="shared" si="0"/>
        <v>0</v>
      </c>
    </row>
    <row r="59" spans="1:12" x14ac:dyDescent="0.6">
      <c r="A59" s="136" t="e">
        <f>#REF!</f>
        <v>#REF!</v>
      </c>
      <c r="B59" s="137"/>
      <c r="C59" s="73"/>
      <c r="D59" s="15"/>
      <c r="E59" s="16"/>
      <c r="F59" s="17"/>
      <c r="G59" s="18"/>
      <c r="H59" s="19"/>
      <c r="I59" s="20"/>
      <c r="J59" s="14"/>
      <c r="K59" s="14"/>
      <c r="L59" s="22">
        <f t="shared" si="0"/>
        <v>0</v>
      </c>
    </row>
    <row r="60" spans="1:12" x14ac:dyDescent="0.6">
      <c r="A60" s="136" t="e">
        <f>#REF!</f>
        <v>#REF!</v>
      </c>
      <c r="B60" s="137"/>
      <c r="C60" s="73"/>
      <c r="D60" s="15"/>
      <c r="E60" s="16"/>
      <c r="F60" s="17"/>
      <c r="G60" s="18"/>
      <c r="H60" s="19"/>
      <c r="I60" s="20"/>
      <c r="J60" s="14"/>
      <c r="K60" s="14"/>
      <c r="L60" s="22">
        <f t="shared" si="0"/>
        <v>0</v>
      </c>
    </row>
    <row r="61" spans="1:12" x14ac:dyDescent="0.6">
      <c r="A61" s="136" t="e">
        <f>#REF!</f>
        <v>#REF!</v>
      </c>
      <c r="B61" s="137"/>
      <c r="C61" s="73"/>
      <c r="D61" s="15"/>
      <c r="E61" s="16"/>
      <c r="F61" s="17"/>
      <c r="G61" s="18"/>
      <c r="H61" s="19"/>
      <c r="I61" s="20"/>
      <c r="J61" s="14"/>
      <c r="K61" s="14"/>
      <c r="L61" s="22">
        <f t="shared" si="0"/>
        <v>0</v>
      </c>
    </row>
    <row r="62" spans="1:12" x14ac:dyDescent="0.6">
      <c r="A62" s="136" t="e">
        <f>#REF!</f>
        <v>#REF!</v>
      </c>
      <c r="B62" s="137"/>
      <c r="C62" s="73"/>
      <c r="D62" s="15"/>
      <c r="E62" s="16"/>
      <c r="F62" s="17"/>
      <c r="G62" s="18"/>
      <c r="H62" s="19"/>
      <c r="I62" s="20"/>
      <c r="J62" s="14"/>
      <c r="K62" s="14"/>
      <c r="L62" s="22">
        <f t="shared" si="0"/>
        <v>0</v>
      </c>
    </row>
    <row r="63" spans="1:12" x14ac:dyDescent="0.6">
      <c r="A63" s="136" t="e">
        <f>#REF!</f>
        <v>#REF!</v>
      </c>
      <c r="B63" s="137"/>
      <c r="C63" s="73"/>
      <c r="D63" s="15"/>
      <c r="E63" s="16"/>
      <c r="F63" s="17"/>
      <c r="G63" s="18"/>
      <c r="H63" s="19"/>
      <c r="I63" s="20"/>
      <c r="J63" s="14"/>
      <c r="K63" s="14"/>
      <c r="L63" s="22">
        <f t="shared" si="0"/>
        <v>0</v>
      </c>
    </row>
    <row r="64" spans="1:12" x14ac:dyDescent="0.6">
      <c r="A64" s="143" t="s">
        <v>26</v>
      </c>
      <c r="B64" s="115"/>
      <c r="C64" s="97">
        <f t="shared" ref="C64:J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129">
        <f t="shared" si="1"/>
        <v>0</v>
      </c>
      <c r="K64" s="115"/>
      <c r="L64" s="98">
        <f>SUM(L33:L63)</f>
        <v>0</v>
      </c>
    </row>
    <row r="65" spans="1:12" x14ac:dyDescent="0.6">
      <c r="A65" s="123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6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6">
      <c r="A67" s="113" t="s">
        <v>28</v>
      </c>
      <c r="B67" s="114"/>
      <c r="C67" s="115"/>
      <c r="D67" s="113" t="s">
        <v>226</v>
      </c>
      <c r="E67" s="114"/>
      <c r="F67" s="114"/>
      <c r="G67" s="114"/>
      <c r="H67" s="115"/>
      <c r="I67" s="113"/>
      <c r="J67" s="114"/>
      <c r="K67" s="114"/>
      <c r="L67" s="115"/>
    </row>
    <row r="68" spans="1:12" x14ac:dyDescent="0.6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6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6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3">
    <mergeCell ref="A3:L4"/>
    <mergeCell ref="A5:L6"/>
    <mergeCell ref="A7:D8"/>
    <mergeCell ref="E7:H8"/>
    <mergeCell ref="I7:L8"/>
    <mergeCell ref="A9:B10"/>
    <mergeCell ref="C9:C10"/>
    <mergeCell ref="D9:D10"/>
    <mergeCell ref="E9:F10"/>
    <mergeCell ref="G9:I10"/>
    <mergeCell ref="A13:B14"/>
    <mergeCell ref="C13:C14"/>
    <mergeCell ref="D13:D14"/>
    <mergeCell ref="E13:F14"/>
    <mergeCell ref="G13:I14"/>
    <mergeCell ref="J13:L14"/>
    <mergeCell ref="J9:L10"/>
    <mergeCell ref="A11:B12"/>
    <mergeCell ref="C11:C12"/>
    <mergeCell ref="D11:D12"/>
    <mergeCell ref="E11:F12"/>
    <mergeCell ref="G11:I12"/>
    <mergeCell ref="J11:L12"/>
    <mergeCell ref="A17:B18"/>
    <mergeCell ref="C17:C18"/>
    <mergeCell ref="D17:D18"/>
    <mergeCell ref="E17:F18"/>
    <mergeCell ref="G17:H18"/>
    <mergeCell ref="I17:L18"/>
    <mergeCell ref="A15:B16"/>
    <mergeCell ref="C15:C16"/>
    <mergeCell ref="D15:D16"/>
    <mergeCell ref="E15:F16"/>
    <mergeCell ref="G15:I16"/>
    <mergeCell ref="J15:L16"/>
    <mergeCell ref="A21:B22"/>
    <mergeCell ref="C21:C22"/>
    <mergeCell ref="D21:D22"/>
    <mergeCell ref="E21:F22"/>
    <mergeCell ref="G21:H22"/>
    <mergeCell ref="I21:L22"/>
    <mergeCell ref="A19:B20"/>
    <mergeCell ref="C19:C20"/>
    <mergeCell ref="D19:D20"/>
    <mergeCell ref="E19:F20"/>
    <mergeCell ref="G19:H20"/>
    <mergeCell ref="I19:L20"/>
    <mergeCell ref="A23:B26"/>
    <mergeCell ref="C23:C24"/>
    <mergeCell ref="D23:D24"/>
    <mergeCell ref="E23:F24"/>
    <mergeCell ref="G23:H24"/>
    <mergeCell ref="I23:L24"/>
    <mergeCell ref="C25:C26"/>
    <mergeCell ref="D25:D26"/>
    <mergeCell ref="E25:F26"/>
    <mergeCell ref="G25:L26"/>
    <mergeCell ref="A33:B33"/>
    <mergeCell ref="A34:B34"/>
    <mergeCell ref="A35:B35"/>
    <mergeCell ref="A36:B36"/>
    <mergeCell ref="A37:B37"/>
    <mergeCell ref="A38:B38"/>
    <mergeCell ref="A27:C28"/>
    <mergeCell ref="D27:F30"/>
    <mergeCell ref="G27:L30"/>
    <mergeCell ref="A29:C30"/>
    <mergeCell ref="A31:L31"/>
    <mergeCell ref="A32:B32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57:B57"/>
    <mergeCell ref="A58:B58"/>
    <mergeCell ref="A59:B59"/>
    <mergeCell ref="A60:B60"/>
    <mergeCell ref="A61:B61"/>
    <mergeCell ref="A62:B62"/>
    <mergeCell ref="A51:B51"/>
    <mergeCell ref="A52:B52"/>
    <mergeCell ref="A53:B53"/>
    <mergeCell ref="A54:B54"/>
    <mergeCell ref="A55:B55"/>
    <mergeCell ref="A56:B56"/>
    <mergeCell ref="A69:C70"/>
    <mergeCell ref="D69:H70"/>
    <mergeCell ref="I69:L70"/>
    <mergeCell ref="A63:B63"/>
    <mergeCell ref="A64:B64"/>
    <mergeCell ref="J64:K64"/>
    <mergeCell ref="A65:L66"/>
    <mergeCell ref="A67:C68"/>
    <mergeCell ref="D67:H68"/>
    <mergeCell ref="I67:L68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70"/>
  <sheetViews>
    <sheetView zoomScale="70" zoomScaleNormal="70" workbookViewId="0">
      <selection activeCell="A7" sqref="A7:D8"/>
    </sheetView>
  </sheetViews>
  <sheetFormatPr defaultRowHeight="13.9" x14ac:dyDescent="0.4"/>
  <cols>
    <col min="1" max="3" width="9.0625" style="3" bestFit="1" customWidth="1"/>
    <col min="4" max="4" width="10.5625" style="3" customWidth="1"/>
    <col min="5" max="11" width="9.0625" style="3" bestFit="1" customWidth="1"/>
    <col min="12" max="12" width="9.6875" style="3" bestFit="1" customWidth="1"/>
    <col min="13" max="16384" width="9" style="3"/>
  </cols>
  <sheetData>
    <row r="1" spans="1:12" x14ac:dyDescent="0.4">
      <c r="A1" s="54">
        <v>1</v>
      </c>
      <c r="B1" s="54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67"/>
      <c r="B2" s="67"/>
      <c r="C2" s="4"/>
      <c r="D2" s="4"/>
      <c r="E2" s="4"/>
      <c r="F2" s="4"/>
      <c r="G2" s="68"/>
      <c r="H2" s="4"/>
      <c r="I2" s="4"/>
      <c r="J2" s="4"/>
      <c r="K2" s="4"/>
      <c r="L2" s="4"/>
    </row>
    <row r="3" spans="1:12" x14ac:dyDescent="0.4">
      <c r="A3" s="190" t="s">
        <v>31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ht="13.9" customHeight="1" x14ac:dyDescent="0.4">
      <c r="A5" s="162" t="s">
        <v>222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ht="13.9" customHeight="1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123" t="s">
        <v>213</v>
      </c>
      <c r="B7" s="157"/>
      <c r="C7" s="157"/>
      <c r="D7" s="157"/>
      <c r="E7" s="184" t="s">
        <v>2</v>
      </c>
      <c r="F7" s="184"/>
      <c r="G7" s="184"/>
      <c r="H7" s="185"/>
      <c r="I7" s="192" t="s">
        <v>214</v>
      </c>
      <c r="J7" s="193"/>
      <c r="K7" s="193"/>
      <c r="L7" s="194"/>
    </row>
    <row r="8" spans="1:12" ht="24.75" customHeight="1" x14ac:dyDescent="0.4">
      <c r="A8" s="158"/>
      <c r="B8" s="159"/>
      <c r="C8" s="159"/>
      <c r="D8" s="159"/>
      <c r="E8" s="186"/>
      <c r="F8" s="186"/>
      <c r="G8" s="186"/>
      <c r="H8" s="187"/>
      <c r="I8" s="195"/>
      <c r="J8" s="196"/>
      <c r="K8" s="196"/>
      <c r="L8" s="197"/>
    </row>
    <row r="9" spans="1:12" ht="13.9" customHeight="1" x14ac:dyDescent="0.4">
      <c r="A9" s="155" t="s">
        <v>4</v>
      </c>
      <c r="B9" s="146"/>
      <c r="C9" s="155" t="s">
        <v>5</v>
      </c>
      <c r="D9" s="155" t="s">
        <v>6</v>
      </c>
      <c r="E9" s="155" t="s">
        <v>7</v>
      </c>
      <c r="F9" s="146"/>
      <c r="G9" s="155" t="s">
        <v>8</v>
      </c>
      <c r="H9" s="151"/>
      <c r="I9" s="146"/>
      <c r="J9" s="167">
        <f>D64+E64</f>
        <v>0</v>
      </c>
      <c r="K9" s="151"/>
      <c r="L9" s="146"/>
    </row>
    <row r="10" spans="1:12" ht="13.9" customHeight="1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ht="13.9" customHeight="1" x14ac:dyDescent="0.4">
      <c r="A11" s="145" t="s">
        <v>9</v>
      </c>
      <c r="B11" s="146"/>
      <c r="C11" s="191">
        <f>C64</f>
        <v>0</v>
      </c>
      <c r="D11" s="145">
        <v>2000</v>
      </c>
      <c r="E11" s="145">
        <f>D11*C11</f>
        <v>0</v>
      </c>
      <c r="F11" s="146"/>
      <c r="G11" s="145" t="s">
        <v>10</v>
      </c>
      <c r="H11" s="151"/>
      <c r="I11" s="146"/>
      <c r="J11" s="167">
        <f>C25-J9</f>
        <v>0</v>
      </c>
      <c r="K11" s="151"/>
      <c r="L11" s="146"/>
    </row>
    <row r="12" spans="1:12" ht="13.9" customHeight="1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ht="13.9" customHeight="1" x14ac:dyDescent="0.4">
      <c r="A13" s="145" t="s">
        <v>219</v>
      </c>
      <c r="B13" s="146"/>
      <c r="C13" s="145">
        <f>D64</f>
        <v>0</v>
      </c>
      <c r="D13" s="145">
        <v>13000</v>
      </c>
      <c r="E13" s="145">
        <f>D13*C13</f>
        <v>0</v>
      </c>
      <c r="F13" s="146"/>
      <c r="G13" s="145"/>
      <c r="H13" s="151"/>
      <c r="I13" s="146"/>
      <c r="J13" s="145"/>
      <c r="K13" s="151"/>
      <c r="L13" s="146"/>
    </row>
    <row r="14" spans="1:12" ht="13.9" customHeight="1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ht="13.9" customHeight="1" x14ac:dyDescent="0.4">
      <c r="A15" s="145" t="s">
        <v>12</v>
      </c>
      <c r="B15" s="146"/>
      <c r="C15" s="145">
        <f>E64</f>
        <v>0</v>
      </c>
      <c r="D15" s="145">
        <v>15000</v>
      </c>
      <c r="E15" s="145">
        <f>D15*C15</f>
        <v>0</v>
      </c>
      <c r="F15" s="146"/>
      <c r="G15" s="145"/>
      <c r="H15" s="151"/>
      <c r="I15" s="146"/>
      <c r="J15" s="145"/>
      <c r="K15" s="151"/>
      <c r="L15" s="146"/>
    </row>
    <row r="16" spans="1:12" ht="13.9" customHeight="1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ht="13.9" customHeight="1" x14ac:dyDescent="0.4">
      <c r="A17" s="145" t="s">
        <v>13</v>
      </c>
      <c r="B17" s="146"/>
      <c r="C17" s="145">
        <f>G64</f>
        <v>0</v>
      </c>
      <c r="D17" s="145">
        <v>4500</v>
      </c>
      <c r="E17" s="145">
        <f>D17*C17</f>
        <v>0</v>
      </c>
      <c r="F17" s="146"/>
      <c r="G17" s="145" t="s">
        <v>14</v>
      </c>
      <c r="H17" s="146"/>
      <c r="I17" s="167">
        <f>D27</f>
        <v>0</v>
      </c>
      <c r="J17" s="151"/>
      <c r="K17" s="151"/>
      <c r="L17" s="146"/>
    </row>
    <row r="18" spans="1:12" ht="13.9" customHeight="1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ht="13.9" customHeight="1" x14ac:dyDescent="0.4">
      <c r="A19" s="145" t="s">
        <v>15</v>
      </c>
      <c r="B19" s="146"/>
      <c r="C19" s="145">
        <f>H64</f>
        <v>0</v>
      </c>
      <c r="D19" s="145">
        <v>4500</v>
      </c>
      <c r="E19" s="145">
        <f>D19*C19</f>
        <v>0</v>
      </c>
      <c r="F19" s="146"/>
      <c r="G19" s="145"/>
      <c r="H19" s="146"/>
      <c r="I19" s="167"/>
      <c r="J19" s="151"/>
      <c r="K19" s="151"/>
      <c r="L19" s="146"/>
    </row>
    <row r="20" spans="1:12" ht="13.9" customHeight="1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ht="13.9" customHeight="1" x14ac:dyDescent="0.4">
      <c r="A21" s="145" t="s">
        <v>17</v>
      </c>
      <c r="B21" s="146"/>
      <c r="C21" s="145">
        <f>I64</f>
        <v>0</v>
      </c>
      <c r="D21" s="145">
        <v>5500</v>
      </c>
      <c r="E21" s="145">
        <f>D21*C21</f>
        <v>0</v>
      </c>
      <c r="F21" s="146"/>
      <c r="G21" s="145"/>
      <c r="H21" s="146"/>
      <c r="I21" s="167"/>
      <c r="J21" s="151"/>
      <c r="K21" s="151"/>
      <c r="L21" s="146"/>
    </row>
    <row r="22" spans="1:12" ht="13.9" customHeight="1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ht="13.9" customHeight="1" x14ac:dyDescent="0.4">
      <c r="A23" s="145" t="s">
        <v>19</v>
      </c>
      <c r="B23" s="146"/>
      <c r="C23" s="145" t="s">
        <v>5</v>
      </c>
      <c r="D23" s="145" t="s">
        <v>6</v>
      </c>
      <c r="E23" s="145" t="s">
        <v>7</v>
      </c>
      <c r="F23" s="146"/>
      <c r="G23" s="145"/>
      <c r="H23" s="146"/>
      <c r="I23" s="167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ht="13.9" customHeight="1" x14ac:dyDescent="0.4">
      <c r="A25" s="152"/>
      <c r="B25" s="166"/>
      <c r="C25" s="145">
        <f>F64</f>
        <v>0</v>
      </c>
      <c r="D25" s="207">
        <v>3000</v>
      </c>
      <c r="E25" s="207">
        <f>D25*C25</f>
        <v>0</v>
      </c>
      <c r="F25" s="151"/>
      <c r="G25" s="208" t="s">
        <v>20</v>
      </c>
      <c r="H25" s="209"/>
      <c r="I25" s="209"/>
      <c r="J25" s="209"/>
      <c r="K25" s="209"/>
      <c r="L25" s="210"/>
    </row>
    <row r="26" spans="1:12" ht="13.9" customHeight="1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ht="13.9" customHeight="1" x14ac:dyDescent="0.4">
      <c r="A27" s="189" t="s">
        <v>21</v>
      </c>
      <c r="B27" s="151"/>
      <c r="C27" s="146"/>
      <c r="D27" s="145">
        <f>E11+E13+E15+E17+E19+E21-E25</f>
        <v>0</v>
      </c>
      <c r="E27" s="151"/>
      <c r="F27" s="151"/>
      <c r="G27" s="198">
        <f>I17-I19</f>
        <v>0</v>
      </c>
      <c r="H27" s="199"/>
      <c r="I27" s="199"/>
      <c r="J27" s="199"/>
      <c r="K27" s="199"/>
      <c r="L27" s="200"/>
    </row>
    <row r="28" spans="1:12" ht="13.9" customHeight="1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ht="13.9" customHeight="1" x14ac:dyDescent="0.4">
      <c r="A29" s="165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155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38" t="s">
        <v>23</v>
      </c>
      <c r="B32" s="137"/>
      <c r="C32" s="6" t="s">
        <v>9</v>
      </c>
      <c r="D32" s="7" t="s">
        <v>219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13"/>
      <c r="K32" s="14"/>
      <c r="L32" s="5" t="s">
        <v>26</v>
      </c>
    </row>
    <row r="33" spans="1:12" x14ac:dyDescent="0.4">
      <c r="A33" s="136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21"/>
      <c r="K33" s="14"/>
      <c r="L33" s="22">
        <f>I33*D21+H33*4500+G33*4500-F33*3000+E33*15000+D33*13000+C33*2000</f>
        <v>0</v>
      </c>
    </row>
    <row r="34" spans="1:12" x14ac:dyDescent="0.4">
      <c r="A34" s="136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21"/>
      <c r="K34" s="14"/>
      <c r="L34" s="22">
        <f>I34*D21+H34*4500+G34*4500-F34*3000+E34*15000+D34*13000+C34*2000</f>
        <v>0</v>
      </c>
    </row>
    <row r="35" spans="1:12" x14ac:dyDescent="0.4">
      <c r="A35" s="136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21"/>
      <c r="K35" s="14"/>
      <c r="L35" s="22">
        <f>I35*D21+H35*4500+G35*4500-F35*3000+E35*15000+D35*13000+C35*2000</f>
        <v>0</v>
      </c>
    </row>
    <row r="36" spans="1:12" x14ac:dyDescent="0.4">
      <c r="A36" s="136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21"/>
      <c r="K36" s="14"/>
      <c r="L36" s="22">
        <f>I36*D21+H36*4500+G36*4500-F36*3000+E36*15000+D36*13000+C36*2000</f>
        <v>0</v>
      </c>
    </row>
    <row r="37" spans="1:12" x14ac:dyDescent="0.4">
      <c r="A37" s="136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21"/>
      <c r="K37" s="14"/>
      <c r="L37" s="22">
        <f>I37*D21+H37*4500+G37*4500-F37*3000+E37*15000+D37*13000+C37*2000</f>
        <v>0</v>
      </c>
    </row>
    <row r="38" spans="1:12" x14ac:dyDescent="0.4">
      <c r="A38" s="136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21"/>
      <c r="K38" s="14"/>
      <c r="L38" s="22">
        <f>I38*D21+H38*4500+G38*4500-F38*3000+E38*15000+D38*13000+C38*2000</f>
        <v>0</v>
      </c>
    </row>
    <row r="39" spans="1:12" x14ac:dyDescent="0.4">
      <c r="A39" s="136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21"/>
      <c r="K39" s="14"/>
      <c r="L39" s="22">
        <f>I39*D21+H39*4500+G39*4500-F39*3000+E39*15000+D39*13000+C39*2000</f>
        <v>0</v>
      </c>
    </row>
    <row r="40" spans="1:12" x14ac:dyDescent="0.4">
      <c r="A40" s="136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21"/>
      <c r="K40" s="14"/>
      <c r="L40" s="22">
        <f>I40*D21+H40*4500+G40*4500-F40*3000+E40*15000+D40*13000+C40*2000</f>
        <v>0</v>
      </c>
    </row>
    <row r="41" spans="1:12" x14ac:dyDescent="0.4">
      <c r="A41" s="136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21"/>
      <c r="K41" s="14"/>
      <c r="L41" s="22">
        <f>I41*D21+H41*4500+G41*4500-F41*3000+E41*15000+D41*13000+C41*2000</f>
        <v>0</v>
      </c>
    </row>
    <row r="42" spans="1:12" x14ac:dyDescent="0.4">
      <c r="A42" s="136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21"/>
      <c r="K42" s="14"/>
      <c r="L42" s="22">
        <f>I42*D21+H42*4500+G42*4500-F42*3000+E42*15000+D42*13000+C42*2000</f>
        <v>0</v>
      </c>
    </row>
    <row r="43" spans="1:12" x14ac:dyDescent="0.4">
      <c r="A43" s="136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21"/>
      <c r="K43" s="14"/>
      <c r="L43" s="22">
        <f>I43*D21+H43*4500+G43*4500-F43*3000+E43*15000+D43*13000+C43*2000</f>
        <v>0</v>
      </c>
    </row>
    <row r="44" spans="1:12" x14ac:dyDescent="0.4">
      <c r="A44" s="136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21"/>
      <c r="K44" s="14"/>
      <c r="L44" s="22">
        <f>I44*D21+H44*4500+G44*4500-F44*3000+E44*15000+D44*13000+C44*2000</f>
        <v>0</v>
      </c>
    </row>
    <row r="45" spans="1:12" x14ac:dyDescent="0.4">
      <c r="A45" s="136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21"/>
      <c r="K45" s="14"/>
      <c r="L45" s="22">
        <f>I45*D21+H45*4500+G45*4500-F45*3000+E45*15000+D45*13000+C45*2000</f>
        <v>0</v>
      </c>
    </row>
    <row r="46" spans="1:12" x14ac:dyDescent="0.4">
      <c r="A46" s="136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21"/>
      <c r="K46" s="14"/>
      <c r="L46" s="22">
        <f>I46*D21+H46*4500+G46*4500-F46*3000+E46*15000+D46*13000+C46*2000</f>
        <v>0</v>
      </c>
    </row>
    <row r="47" spans="1:12" x14ac:dyDescent="0.4">
      <c r="A47" s="136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21"/>
      <c r="K47" s="14"/>
      <c r="L47" s="22">
        <f>I47*D21+H47*4500+G47*4500-F47*3000+E47*15000+D47*13000+C47*2000</f>
        <v>0</v>
      </c>
    </row>
    <row r="48" spans="1:12" x14ac:dyDescent="0.4">
      <c r="A48" s="136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21"/>
      <c r="K48" s="14"/>
      <c r="L48" s="22">
        <f>I48*D21+H48*4500+G48*4500-F48*3000+E48*15000+D48*13000+C48*2000</f>
        <v>0</v>
      </c>
    </row>
    <row r="49" spans="1:12" x14ac:dyDescent="0.4">
      <c r="A49" s="136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21"/>
      <c r="K49" s="14"/>
      <c r="L49" s="22">
        <f>I49*D21+H49*4500+G49*4500-F49*3000+E49*15000+D49*13000+C49*2000</f>
        <v>0</v>
      </c>
    </row>
    <row r="50" spans="1:12" x14ac:dyDescent="0.4">
      <c r="A50" s="136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21"/>
      <c r="K50" s="14"/>
      <c r="L50" s="22">
        <f>I50*D21+H50*4500+G50*4500-F50*3000+E50*15000+D50*13000+C50*2000</f>
        <v>0</v>
      </c>
    </row>
    <row r="51" spans="1:12" x14ac:dyDescent="0.4">
      <c r="A51" s="136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21"/>
      <c r="K51" s="14"/>
      <c r="L51" s="22">
        <f>I51*D21+H51*4500+G51*4500-F51*3000+E51*15000+D51*13000+C51*2000</f>
        <v>0</v>
      </c>
    </row>
    <row r="52" spans="1:12" x14ac:dyDescent="0.4">
      <c r="A52" s="136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21"/>
      <c r="K52" s="14"/>
      <c r="L52" s="22">
        <f>I52*D21+H52*4500+G52*4500-F52*3000+E52*15000+D52*13000+C52*2000</f>
        <v>0</v>
      </c>
    </row>
    <row r="53" spans="1:12" x14ac:dyDescent="0.4">
      <c r="A53" s="136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21"/>
      <c r="K53" s="14"/>
      <c r="L53" s="22">
        <f>I53*D21+H53*4500+G53*4500-F53*3000+E53*15000+D53*13000+C53*2000</f>
        <v>0</v>
      </c>
    </row>
    <row r="54" spans="1:12" x14ac:dyDescent="0.4">
      <c r="A54" s="136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21"/>
      <c r="K54" s="14"/>
      <c r="L54" s="22">
        <f>I54*D21+H54*4500+G54*4500-F54*3000+E54*15000+D54*13000+C54*2000</f>
        <v>0</v>
      </c>
    </row>
    <row r="55" spans="1:12" x14ac:dyDescent="0.4">
      <c r="A55" s="136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21"/>
      <c r="K55" s="14"/>
      <c r="L55" s="22">
        <f>I55*D21+H55*4500+G55*4500-F55*3000+E55*15000+D55*13000+C55*2000</f>
        <v>0</v>
      </c>
    </row>
    <row r="56" spans="1:12" x14ac:dyDescent="0.4">
      <c r="A56" s="136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21"/>
      <c r="K56" s="14"/>
      <c r="L56" s="22">
        <f>I56*D21+H56*4500+G56*4500-F56*3000+E56*15000+D56*13000+C56*2000</f>
        <v>0</v>
      </c>
    </row>
    <row r="57" spans="1:12" x14ac:dyDescent="0.4">
      <c r="A57" s="136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21"/>
      <c r="K57" s="14"/>
      <c r="L57" s="22">
        <f>I57*D21+H57*4500+G57*4500-F57*3000+E57*15000+D57*13000+C57*2000</f>
        <v>0</v>
      </c>
    </row>
    <row r="58" spans="1:12" x14ac:dyDescent="0.4">
      <c r="A58" s="136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21"/>
      <c r="K58" s="14"/>
      <c r="L58" s="22">
        <f>I58*D21+H58*4500+G58*4500-F58*3000+E58*15000+D58*13000+C58*2000</f>
        <v>0</v>
      </c>
    </row>
    <row r="59" spans="1:12" x14ac:dyDescent="0.4">
      <c r="A59" s="136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21"/>
      <c r="K59" s="14"/>
      <c r="L59" s="22">
        <f>I59*D21+H59*4500+G59*4500-F59*3000+E59*15000+D59*13000+C59*2000</f>
        <v>0</v>
      </c>
    </row>
    <row r="60" spans="1:12" x14ac:dyDescent="0.4">
      <c r="A60" s="136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21"/>
      <c r="K60" s="14"/>
      <c r="L60" s="22">
        <f>I60*D21+H60*4500+G60*4500-F60*3000+E60*15000+D60*13000+C60*2000</f>
        <v>0</v>
      </c>
    </row>
    <row r="61" spans="1:12" x14ac:dyDescent="0.4">
      <c r="A61" s="136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21"/>
      <c r="K61" s="14"/>
      <c r="L61" s="22">
        <f>I61*D21+H61*4500+G61*4500-F61*3000+E61*15000+D61*13000+C61*2000</f>
        <v>0</v>
      </c>
    </row>
    <row r="62" spans="1:12" x14ac:dyDescent="0.4">
      <c r="A62" s="136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21"/>
      <c r="K62" s="14"/>
      <c r="L62" s="22">
        <f>I62*D21+H62*4500+G62*4500-F62*3000+E62*15000+D62*13000+C62*2000</f>
        <v>0</v>
      </c>
    </row>
    <row r="63" spans="1:12" x14ac:dyDescent="0.4">
      <c r="A63" s="136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21"/>
      <c r="K63" s="14"/>
      <c r="L63" s="22">
        <f>I63*D21+H63*4500+G63*4500-F63*3000+E63*15000+D63*13000+C63*2000</f>
        <v>0</v>
      </c>
    </row>
    <row r="64" spans="1:12" x14ac:dyDescent="0.4">
      <c r="A64" s="143" t="s">
        <v>26</v>
      </c>
      <c r="B64" s="115"/>
      <c r="C64" s="74">
        <f t="shared" ref="C64:L64" si="0">SUM(C33:C63)</f>
        <v>0</v>
      </c>
      <c r="D64" s="75">
        <f t="shared" si="0"/>
        <v>0</v>
      </c>
      <c r="E64" s="76">
        <f t="shared" si="0"/>
        <v>0</v>
      </c>
      <c r="F64" s="77">
        <f t="shared" si="0"/>
        <v>0</v>
      </c>
      <c r="G64" s="78">
        <f t="shared" si="0"/>
        <v>0</v>
      </c>
      <c r="H64" s="79">
        <f t="shared" si="0"/>
        <v>0</v>
      </c>
      <c r="I64" s="80">
        <f t="shared" si="0"/>
        <v>0</v>
      </c>
      <c r="J64" s="81">
        <f t="shared" si="0"/>
        <v>0</v>
      </c>
      <c r="K64" s="81">
        <f t="shared" si="0"/>
        <v>0</v>
      </c>
      <c r="L64" s="98">
        <f t="shared" si="0"/>
        <v>0</v>
      </c>
    </row>
    <row r="65" spans="1:12" ht="13.9" customHeight="1" x14ac:dyDescent="0.4">
      <c r="A65" s="123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ht="13.9" customHeight="1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/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I21:L22"/>
    <mergeCell ref="A46:B46"/>
    <mergeCell ref="A37:B37"/>
    <mergeCell ref="D25:D26"/>
    <mergeCell ref="A31:L31"/>
    <mergeCell ref="A7:D8"/>
    <mergeCell ref="I23:L24"/>
    <mergeCell ref="E17:F18"/>
    <mergeCell ref="C19:C20"/>
    <mergeCell ref="E15:F16"/>
    <mergeCell ref="A45:B45"/>
    <mergeCell ref="D17:D18"/>
    <mergeCell ref="D11:D12"/>
    <mergeCell ref="J13:L14"/>
    <mergeCell ref="C11:C12"/>
    <mergeCell ref="I17:L18"/>
    <mergeCell ref="C9:C10"/>
    <mergeCell ref="A9:B10"/>
    <mergeCell ref="E7:H8"/>
    <mergeCell ref="A35:B35"/>
    <mergeCell ref="J11:L12"/>
    <mergeCell ref="J15:L16"/>
    <mergeCell ref="G25:L26"/>
    <mergeCell ref="A59:B59"/>
    <mergeCell ref="A54:B54"/>
    <mergeCell ref="A41:B41"/>
    <mergeCell ref="C25:C26"/>
    <mergeCell ref="D69:H70"/>
    <mergeCell ref="A33:B33"/>
    <mergeCell ref="A61:B61"/>
    <mergeCell ref="A32:B32"/>
    <mergeCell ref="E25:F26"/>
    <mergeCell ref="A50:B50"/>
    <mergeCell ref="A47:B47"/>
    <mergeCell ref="A64:B64"/>
    <mergeCell ref="A51:B51"/>
    <mergeCell ref="I69:L70"/>
    <mergeCell ref="A65:L66"/>
    <mergeCell ref="A60:B60"/>
    <mergeCell ref="A67:C68"/>
    <mergeCell ref="A69:C70"/>
    <mergeCell ref="I67:L68"/>
    <mergeCell ref="G27:L30"/>
    <mergeCell ref="A43:B43"/>
    <mergeCell ref="E23:F24"/>
    <mergeCell ref="A40:B40"/>
    <mergeCell ref="A23:B26"/>
    <mergeCell ref="A17:B18"/>
    <mergeCell ref="E21:F22"/>
    <mergeCell ref="C23:C24"/>
    <mergeCell ref="A62:B62"/>
    <mergeCell ref="A39:B39"/>
    <mergeCell ref="A48:B48"/>
    <mergeCell ref="A19:B20"/>
    <mergeCell ref="A63:B63"/>
    <mergeCell ref="A55:B55"/>
    <mergeCell ref="D67:H68"/>
    <mergeCell ref="A3:L4"/>
    <mergeCell ref="C13:C14"/>
    <mergeCell ref="D19:D20"/>
    <mergeCell ref="A5:L6"/>
    <mergeCell ref="C15:C16"/>
    <mergeCell ref="A44:B44"/>
    <mergeCell ref="A29:C30"/>
    <mergeCell ref="A58:B58"/>
    <mergeCell ref="A52:B52"/>
    <mergeCell ref="E9:F10"/>
    <mergeCell ref="G9:I10"/>
    <mergeCell ref="C21:C22"/>
    <mergeCell ref="J9:L10"/>
    <mergeCell ref="I7:L8"/>
    <mergeCell ref="D13:D14"/>
    <mergeCell ref="A13:B14"/>
    <mergeCell ref="G13:I14"/>
    <mergeCell ref="A11:B12"/>
    <mergeCell ref="G17:H18"/>
    <mergeCell ref="E19:F20"/>
    <mergeCell ref="D23:D24"/>
    <mergeCell ref="D9:D10"/>
    <mergeCell ref="C17:C18"/>
    <mergeCell ref="A27:C28"/>
    <mergeCell ref="A56:B56"/>
    <mergeCell ref="D15:D16"/>
    <mergeCell ref="A53:B53"/>
    <mergeCell ref="I19:L20"/>
    <mergeCell ref="G21:H22"/>
    <mergeCell ref="A57:B57"/>
    <mergeCell ref="A15:B16"/>
    <mergeCell ref="D27:F30"/>
    <mergeCell ref="G19:H20"/>
    <mergeCell ref="A34:B34"/>
    <mergeCell ref="A49:B49"/>
    <mergeCell ref="E11:F12"/>
    <mergeCell ref="A36:B36"/>
    <mergeCell ref="G11:I12"/>
    <mergeCell ref="D21:D22"/>
    <mergeCell ref="A21:B22"/>
    <mergeCell ref="A42:B42"/>
    <mergeCell ref="G23:H24"/>
    <mergeCell ref="E13:F14"/>
    <mergeCell ref="G15:I16"/>
    <mergeCell ref="A38:B38"/>
  </mergeCells>
  <phoneticPr fontId="1" type="noConversion"/>
  <pageMargins left="0.7" right="0.7" top="0.75" bottom="0.75" header="0.3" footer="0.3"/>
  <pageSetup paperSize="9" scale="72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70"/>
  <sheetViews>
    <sheetView zoomScale="70" zoomScaleNormal="70" workbookViewId="0">
      <selection activeCell="Q28" sqref="Q28"/>
    </sheetView>
  </sheetViews>
  <sheetFormatPr defaultRowHeight="13.9" x14ac:dyDescent="0.4"/>
  <cols>
    <col min="1" max="3" width="9.0625" style="3" bestFit="1" customWidth="1"/>
    <col min="4" max="4" width="10.25" style="3" bestFit="1" customWidth="1"/>
    <col min="5" max="12" width="9.0625" style="3" bestFit="1" customWidth="1"/>
    <col min="13" max="16384" width="9" style="3"/>
  </cols>
  <sheetData>
    <row r="1" spans="1:12" x14ac:dyDescent="0.4">
      <c r="A1" s="31">
        <v>1</v>
      </c>
      <c r="B1" s="31">
        <v>2</v>
      </c>
      <c r="C1" s="31">
        <v>3</v>
      </c>
      <c r="D1" s="31">
        <v>4</v>
      </c>
      <c r="E1" s="31">
        <v>5</v>
      </c>
      <c r="F1" s="23">
        <v>6</v>
      </c>
      <c r="G1" s="23">
        <v>7</v>
      </c>
      <c r="H1" s="23">
        <v>8</v>
      </c>
      <c r="I1" s="23">
        <v>9</v>
      </c>
      <c r="J1" s="23">
        <v>10</v>
      </c>
      <c r="K1" s="23">
        <v>11</v>
      </c>
      <c r="L1" s="23">
        <v>12</v>
      </c>
    </row>
    <row r="2" spans="1:12" x14ac:dyDescent="0.4">
      <c r="A2" s="27">
        <v>45859</v>
      </c>
      <c r="B2" s="27">
        <v>45469</v>
      </c>
      <c r="C2" s="27">
        <v>45485</v>
      </c>
      <c r="D2" s="27">
        <v>46001</v>
      </c>
      <c r="E2" s="27" t="s">
        <v>43</v>
      </c>
      <c r="F2" s="27"/>
      <c r="G2" s="27"/>
      <c r="H2" s="27"/>
      <c r="I2" s="27"/>
      <c r="J2" s="27"/>
      <c r="K2" s="27"/>
      <c r="L2" s="27"/>
    </row>
    <row r="3" spans="1:12" x14ac:dyDescent="0.4">
      <c r="A3" s="190" t="s">
        <v>44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45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46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f>C64</f>
        <v>0</v>
      </c>
      <c r="D11" s="214">
        <v>1900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f>D64</f>
        <v>0</v>
      </c>
      <c r="D13" s="214">
        <v>13000</v>
      </c>
      <c r="E13" s="214">
        <f>D13*C13</f>
        <v>0</v>
      </c>
      <c r="F13" s="146"/>
      <c r="G13" s="226"/>
      <c r="H13" s="140"/>
      <c r="I13" s="120"/>
      <c r="J13" s="226"/>
      <c r="K13" s="140"/>
      <c r="L13" s="120"/>
    </row>
    <row r="14" spans="1:12" x14ac:dyDescent="0.4">
      <c r="A14" s="147"/>
      <c r="B14" s="148"/>
      <c r="C14" s="149"/>
      <c r="D14" s="149"/>
      <c r="E14" s="147"/>
      <c r="F14" s="148"/>
      <c r="G14" s="141"/>
      <c r="H14" s="142"/>
      <c r="I14" s="144"/>
      <c r="J14" s="141"/>
      <c r="K14" s="142"/>
      <c r="L14" s="144"/>
    </row>
    <row r="15" spans="1:12" x14ac:dyDescent="0.4">
      <c r="A15" s="214" t="s">
        <v>12</v>
      </c>
      <c r="B15" s="146"/>
      <c r="C15" s="214">
        <f>E64</f>
        <v>0</v>
      </c>
      <c r="D15" s="214">
        <v>15000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4500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5000</v>
      </c>
      <c r="E19" s="214">
        <f>D19*C19</f>
        <v>0</v>
      </c>
      <c r="F19" s="146"/>
      <c r="G19" s="214" t="s">
        <v>16</v>
      </c>
      <c r="H19" s="146"/>
      <c r="I19" s="223"/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6000</v>
      </c>
      <c r="E21" s="214">
        <f>D21*C21</f>
        <v>0</v>
      </c>
      <c r="F21" s="146"/>
      <c r="G21" s="214"/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F64</f>
        <v>0</v>
      </c>
      <c r="D25" s="229">
        <v>3000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I17-I21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6" t="s">
        <v>9</v>
      </c>
      <c r="D32" s="7" t="s">
        <v>219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42"/>
      <c r="K33" s="42"/>
      <c r="L33" s="53">
        <f t="shared" ref="L33:L63" si="0">I33*6000+H33*5000+G33*4500-F33*3000+E33*15000+D33*13000+C33*1900</f>
        <v>0</v>
      </c>
    </row>
    <row r="34" spans="1:12" x14ac:dyDescent="0.4">
      <c r="A34" s="215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42"/>
      <c r="K47" s="14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42"/>
      <c r="K48" s="14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42"/>
      <c r="K49" s="14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42"/>
      <c r="K50" s="42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42"/>
      <c r="K51" s="42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42"/>
      <c r="K52" s="42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42"/>
      <c r="K53" s="42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42"/>
      <c r="K54" s="42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74">
        <f t="shared" ref="C64:I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89">
        <f t="shared" ref="J64:L64" si="2">SUM(J33:J63)</f>
        <v>0</v>
      </c>
      <c r="K64" s="89">
        <f t="shared" si="2"/>
        <v>0</v>
      </c>
      <c r="L64" s="98">
        <f t="shared" si="2"/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 t="s">
        <v>47</v>
      </c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A7:D8"/>
    <mergeCell ref="A64:B64"/>
    <mergeCell ref="A51:B51"/>
    <mergeCell ref="D21:D22"/>
    <mergeCell ref="A21:B22"/>
    <mergeCell ref="A53:B53"/>
    <mergeCell ref="A35:B35"/>
    <mergeCell ref="A62:B62"/>
    <mergeCell ref="A39:B39"/>
    <mergeCell ref="A48:B48"/>
    <mergeCell ref="C9:C10"/>
    <mergeCell ref="I7:L8"/>
    <mergeCell ref="A54:B54"/>
    <mergeCell ref="A41:B41"/>
    <mergeCell ref="D13:D14"/>
    <mergeCell ref="A46:B46"/>
    <mergeCell ref="A37:B37"/>
    <mergeCell ref="G13:I14"/>
    <mergeCell ref="D9:D10"/>
    <mergeCell ref="C17:C18"/>
    <mergeCell ref="D25:D26"/>
    <mergeCell ref="A31:L31"/>
    <mergeCell ref="A27:C28"/>
    <mergeCell ref="I23:L24"/>
    <mergeCell ref="G19:H20"/>
    <mergeCell ref="A34:B34"/>
    <mergeCell ref="C23:C24"/>
    <mergeCell ref="G21:H22"/>
    <mergeCell ref="E17:F18"/>
    <mergeCell ref="C19:C20"/>
    <mergeCell ref="A9:B10"/>
    <mergeCell ref="E25:F26"/>
    <mergeCell ref="A33:B33"/>
    <mergeCell ref="A42:B42"/>
    <mergeCell ref="I19:L20"/>
    <mergeCell ref="I69:L70"/>
    <mergeCell ref="A13:B14"/>
    <mergeCell ref="G27:L30"/>
    <mergeCell ref="I21:L22"/>
    <mergeCell ref="C25:C26"/>
    <mergeCell ref="A19:B20"/>
    <mergeCell ref="J13:L14"/>
    <mergeCell ref="C11:C12"/>
    <mergeCell ref="I17:L18"/>
    <mergeCell ref="D67:H68"/>
    <mergeCell ref="G23:H24"/>
    <mergeCell ref="A65:L66"/>
    <mergeCell ref="E13:F14"/>
    <mergeCell ref="G15:I16"/>
    <mergeCell ref="A38:B38"/>
    <mergeCell ref="A43:B43"/>
    <mergeCell ref="E23:F24"/>
    <mergeCell ref="A40:B40"/>
    <mergeCell ref="I67:L68"/>
    <mergeCell ref="E21:F22"/>
    <mergeCell ref="J15:L16"/>
    <mergeCell ref="A47:B47"/>
    <mergeCell ref="D69:H70"/>
    <mergeCell ref="J11:L12"/>
    <mergeCell ref="G25:L26"/>
    <mergeCell ref="A59:B59"/>
    <mergeCell ref="E15:F16"/>
    <mergeCell ref="A32:B32"/>
    <mergeCell ref="A11:B12"/>
    <mergeCell ref="A63:B63"/>
    <mergeCell ref="E19:F20"/>
    <mergeCell ref="D23:D24"/>
    <mergeCell ref="A67:C68"/>
    <mergeCell ref="A56:B56"/>
    <mergeCell ref="D15:D16"/>
    <mergeCell ref="A45:B45"/>
    <mergeCell ref="D17:D18"/>
    <mergeCell ref="A60:B60"/>
    <mergeCell ref="A23:B26"/>
    <mergeCell ref="A17:B18"/>
    <mergeCell ref="A50:B50"/>
    <mergeCell ref="A57:B57"/>
    <mergeCell ref="A15:B16"/>
    <mergeCell ref="A69:C70"/>
    <mergeCell ref="G17:H18"/>
    <mergeCell ref="A52:B52"/>
    <mergeCell ref="D11:D12"/>
    <mergeCell ref="A61:B61"/>
    <mergeCell ref="E7:H8"/>
    <mergeCell ref="A3:L4"/>
    <mergeCell ref="C13:C14"/>
    <mergeCell ref="D19:D20"/>
    <mergeCell ref="A5:L6"/>
    <mergeCell ref="C15:C16"/>
    <mergeCell ref="A44:B44"/>
    <mergeCell ref="A29:C30"/>
    <mergeCell ref="A58:B58"/>
    <mergeCell ref="D27:F30"/>
    <mergeCell ref="E9:F10"/>
    <mergeCell ref="A49:B49"/>
    <mergeCell ref="G9:I10"/>
    <mergeCell ref="E11:F12"/>
    <mergeCell ref="A36:B36"/>
    <mergeCell ref="G11:I12"/>
    <mergeCell ref="C21:C22"/>
    <mergeCell ref="A55:B55"/>
    <mergeCell ref="J9:L10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70"/>
  <sheetViews>
    <sheetView zoomScale="55" zoomScaleNormal="55" workbookViewId="0">
      <selection activeCell="L63" sqref="L33:L63"/>
    </sheetView>
  </sheetViews>
  <sheetFormatPr defaultRowHeight="13.9" x14ac:dyDescent="0.4"/>
  <cols>
    <col min="1" max="3" width="9.0625" style="3" bestFit="1" customWidth="1"/>
    <col min="4" max="4" width="10.3125" style="3" bestFit="1" customWidth="1"/>
    <col min="5" max="12" width="9.0625" style="3" bestFit="1" customWidth="1"/>
    <col min="13" max="16384" width="9" style="3"/>
  </cols>
  <sheetData>
    <row r="1" spans="1:12" x14ac:dyDescent="0.4">
      <c r="A1" s="31">
        <v>1</v>
      </c>
      <c r="B1" s="31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235" t="s">
        <v>48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215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49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f>C64</f>
        <v>0</v>
      </c>
      <c r="D11" s="214">
        <v>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34</v>
      </c>
      <c r="B13" s="146"/>
      <c r="C13" s="214">
        <f>D64</f>
        <v>0</v>
      </c>
      <c r="D13" s="214">
        <v>14000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16000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4500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4500</v>
      </c>
      <c r="E19" s="214">
        <f>D19*C19</f>
        <v>0</v>
      </c>
      <c r="F19" s="146"/>
      <c r="G19" s="226"/>
      <c r="H19" s="120"/>
      <c r="I19" s="236"/>
      <c r="J19" s="140"/>
      <c r="K19" s="140"/>
      <c r="L19" s="120"/>
    </row>
    <row r="20" spans="1:12" x14ac:dyDescent="0.4">
      <c r="A20" s="147"/>
      <c r="B20" s="148"/>
      <c r="C20" s="149"/>
      <c r="D20" s="149"/>
      <c r="E20" s="147"/>
      <c r="F20" s="148"/>
      <c r="G20" s="141"/>
      <c r="H20" s="144"/>
      <c r="I20" s="141"/>
      <c r="J20" s="142"/>
      <c r="K20" s="142"/>
      <c r="L20" s="144"/>
    </row>
    <row r="21" spans="1:12" x14ac:dyDescent="0.4">
      <c r="A21" s="214" t="s">
        <v>17</v>
      </c>
      <c r="B21" s="146"/>
      <c r="C21" s="214">
        <f>I64</f>
        <v>0</v>
      </c>
      <c r="D21" s="214">
        <v>6000</v>
      </c>
      <c r="E21" s="214">
        <f>D21*C21</f>
        <v>0</v>
      </c>
      <c r="F21" s="146"/>
      <c r="G21" s="214"/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F64</f>
        <v>0</v>
      </c>
      <c r="D25" s="229">
        <v>3000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6" t="s">
        <v>9</v>
      </c>
      <c r="D32" s="7" t="s">
        <v>219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4"/>
      <c r="K32" s="14"/>
      <c r="L32" s="2" t="s">
        <v>26</v>
      </c>
    </row>
    <row r="33" spans="1:12" x14ac:dyDescent="0.4">
      <c r="A33" s="215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42"/>
      <c r="K33" s="14"/>
      <c r="L33" s="53">
        <f>I33*6000+H33*4500+G33*4500-F33*3000+E33*16000+D33*14000+C33*0</f>
        <v>0</v>
      </c>
    </row>
    <row r="34" spans="1:12" x14ac:dyDescent="0.4">
      <c r="A34" s="215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4"/>
      <c r="K34" s="14"/>
      <c r="L34" s="53">
        <f>I34*6000+H34*4500+G34*4500-F34*3000+E34*16000+D34*14000+C34*0</f>
        <v>0</v>
      </c>
    </row>
    <row r="35" spans="1:12" x14ac:dyDescent="0.4">
      <c r="A35" s="215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42"/>
      <c r="K35" s="14"/>
      <c r="L35" s="53">
        <f>I35*6000+H35*4500+G35*4500-F35*3000+E35*16000+D35*14000+C35*0</f>
        <v>0</v>
      </c>
    </row>
    <row r="36" spans="1:12" x14ac:dyDescent="0.4">
      <c r="A36" s="215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4"/>
      <c r="K36" s="14"/>
      <c r="L36" s="53">
        <f>I36*6000+H36*4500+G36*4500-F36*3000+E36*16000+D36*14000+C36*0</f>
        <v>0</v>
      </c>
    </row>
    <row r="37" spans="1:12" x14ac:dyDescent="0.4">
      <c r="A37" s="215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42"/>
      <c r="K37" s="14"/>
      <c r="L37" s="53">
        <f t="shared" ref="L37:L63" si="0">I37*6000+H37*4500+G37*4500-F37*3000+E37*16000+D37*14000+C37*0</f>
        <v>0</v>
      </c>
    </row>
    <row r="38" spans="1:12" x14ac:dyDescent="0.4">
      <c r="A38" s="215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4"/>
      <c r="K38" s="14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42"/>
      <c r="K39" s="14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4"/>
      <c r="K40" s="14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42"/>
      <c r="K41" s="14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4"/>
      <c r="K42" s="14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42"/>
      <c r="K43" s="14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4"/>
      <c r="K44" s="14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42"/>
      <c r="K45" s="14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4"/>
      <c r="K46" s="14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4"/>
      <c r="K47" s="14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42"/>
      <c r="K48" s="14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42"/>
      <c r="K49" s="14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42"/>
      <c r="K50" s="14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42"/>
      <c r="K51" s="14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42"/>
      <c r="K52" s="14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42"/>
      <c r="K53" s="14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42"/>
      <c r="K54" s="14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42"/>
      <c r="K55" s="14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42"/>
      <c r="K56" s="14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42"/>
      <c r="K57" s="14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42"/>
      <c r="K58" s="14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42"/>
      <c r="K59" s="14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42"/>
      <c r="K60" s="14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4"/>
      <c r="K61" s="14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42"/>
      <c r="K62" s="14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42"/>
      <c r="K63" s="14"/>
      <c r="L63" s="53">
        <f t="shared" si="0"/>
        <v>0</v>
      </c>
    </row>
    <row r="64" spans="1:12" x14ac:dyDescent="0.4">
      <c r="A64" s="234" t="s">
        <v>26</v>
      </c>
      <c r="B64" s="115"/>
      <c r="C64" s="74">
        <f t="shared" ref="C64:I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237"/>
      <c r="K64" s="115"/>
      <c r="L64" s="98">
        <f>SUM(L33:L63)</f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 t="s">
        <v>50</v>
      </c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3">
    <mergeCell ref="A35:B35"/>
    <mergeCell ref="A62:B62"/>
    <mergeCell ref="A39:B39"/>
    <mergeCell ref="A48:B48"/>
    <mergeCell ref="C17:C18"/>
    <mergeCell ref="E17:F18"/>
    <mergeCell ref="C19:C20"/>
    <mergeCell ref="A59:B59"/>
    <mergeCell ref="A56:B56"/>
    <mergeCell ref="A51:B51"/>
    <mergeCell ref="A43:B43"/>
    <mergeCell ref="A61:B61"/>
    <mergeCell ref="A34:B34"/>
    <mergeCell ref="A49:B49"/>
    <mergeCell ref="A55:B55"/>
    <mergeCell ref="A60:B60"/>
    <mergeCell ref="A54:B54"/>
    <mergeCell ref="A41:B41"/>
    <mergeCell ref="A46:B46"/>
    <mergeCell ref="A45:B45"/>
    <mergeCell ref="A50:B50"/>
    <mergeCell ref="A69:C70"/>
    <mergeCell ref="I69:L70"/>
    <mergeCell ref="A65:L66"/>
    <mergeCell ref="A67:C68"/>
    <mergeCell ref="D67:H68"/>
    <mergeCell ref="J64:K64"/>
    <mergeCell ref="A63:B63"/>
    <mergeCell ref="A64:B64"/>
    <mergeCell ref="D69:H70"/>
    <mergeCell ref="I67:L68"/>
    <mergeCell ref="J15:L16"/>
    <mergeCell ref="A47:B47"/>
    <mergeCell ref="A11:B12"/>
    <mergeCell ref="A58:B58"/>
    <mergeCell ref="G23:H24"/>
    <mergeCell ref="E13:F14"/>
    <mergeCell ref="G15:I16"/>
    <mergeCell ref="A38:B38"/>
    <mergeCell ref="E21:F22"/>
    <mergeCell ref="C23:C24"/>
    <mergeCell ref="G21:H22"/>
    <mergeCell ref="A57:B57"/>
    <mergeCell ref="D27:F30"/>
    <mergeCell ref="A32:B32"/>
    <mergeCell ref="I17:L18"/>
    <mergeCell ref="A52:B52"/>
    <mergeCell ref="A27:C28"/>
    <mergeCell ref="I23:L24"/>
    <mergeCell ref="A36:B36"/>
    <mergeCell ref="A23:B26"/>
    <mergeCell ref="A17:B18"/>
    <mergeCell ref="A33:B33"/>
    <mergeCell ref="A42:B42"/>
    <mergeCell ref="A53:B53"/>
    <mergeCell ref="A3:L4"/>
    <mergeCell ref="C13:C14"/>
    <mergeCell ref="D19:D20"/>
    <mergeCell ref="A5:L6"/>
    <mergeCell ref="C15:C16"/>
    <mergeCell ref="A44:B44"/>
    <mergeCell ref="A29:C30"/>
    <mergeCell ref="A40:B40"/>
    <mergeCell ref="E19:F20"/>
    <mergeCell ref="D23:D24"/>
    <mergeCell ref="G19:H20"/>
    <mergeCell ref="G25:L26"/>
    <mergeCell ref="J9:L10"/>
    <mergeCell ref="D21:D22"/>
    <mergeCell ref="A21:B22"/>
    <mergeCell ref="A19:B20"/>
    <mergeCell ref="I19:L20"/>
    <mergeCell ref="E23:F24"/>
    <mergeCell ref="D15:D16"/>
    <mergeCell ref="C21:C22"/>
    <mergeCell ref="D25:D26"/>
    <mergeCell ref="A31:L31"/>
    <mergeCell ref="E7:H8"/>
    <mergeCell ref="D9:D10"/>
    <mergeCell ref="I7:L8"/>
    <mergeCell ref="D13:D14"/>
    <mergeCell ref="D11:D12"/>
    <mergeCell ref="A13:B14"/>
    <mergeCell ref="G27:L30"/>
    <mergeCell ref="I21:L22"/>
    <mergeCell ref="A37:B37"/>
    <mergeCell ref="G13:I14"/>
    <mergeCell ref="G17:H18"/>
    <mergeCell ref="D17:D18"/>
    <mergeCell ref="A7:D8"/>
    <mergeCell ref="E9:F10"/>
    <mergeCell ref="G9:I10"/>
    <mergeCell ref="E11:F12"/>
    <mergeCell ref="G11:I12"/>
    <mergeCell ref="A15:B16"/>
    <mergeCell ref="C9:C10"/>
    <mergeCell ref="J11:L12"/>
    <mergeCell ref="C25:C26"/>
    <mergeCell ref="E15:F16"/>
    <mergeCell ref="J13:L14"/>
    <mergeCell ref="C11:C12"/>
    <mergeCell ref="A9:B10"/>
    <mergeCell ref="E25:F26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70"/>
  <sheetViews>
    <sheetView topLeftCell="A3" zoomScale="55" zoomScaleNormal="55" workbookViewId="0">
      <selection activeCell="L35" sqref="L35"/>
    </sheetView>
  </sheetViews>
  <sheetFormatPr defaultRowHeight="13.9" x14ac:dyDescent="0.4"/>
  <cols>
    <col min="1" max="3" width="9.0625" style="3" bestFit="1" customWidth="1"/>
    <col min="4" max="4" width="10.3125" style="3" bestFit="1" customWidth="1"/>
    <col min="5" max="11" width="9.0625" style="3" bestFit="1" customWidth="1"/>
    <col min="12" max="12" width="9.375" style="3" bestFit="1" customWidth="1"/>
    <col min="13" max="16384" width="9" style="3"/>
  </cols>
  <sheetData>
    <row r="1" spans="1:12" x14ac:dyDescent="0.4">
      <c r="A1" s="31">
        <v>1</v>
      </c>
      <c r="B1" s="31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235" t="s">
        <v>48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51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49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f>C64</f>
        <v>0</v>
      </c>
      <c r="D11" s="214">
        <v>1900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f>D64</f>
        <v>0</v>
      </c>
      <c r="D13" s="214">
        <v>14000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16000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4500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4500</v>
      </c>
      <c r="E19" s="214">
        <f>D19*C19</f>
        <v>0</v>
      </c>
      <c r="F19" s="146"/>
      <c r="G19" s="214"/>
      <c r="H19" s="146"/>
      <c r="I19" s="223"/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6500</v>
      </c>
      <c r="E21" s="214">
        <f>D21*C21</f>
        <v>0</v>
      </c>
      <c r="F21" s="146"/>
      <c r="G21" s="214"/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F64</f>
        <v>0</v>
      </c>
      <c r="D25" s="229">
        <v>3000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I17+I19-I21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6" t="s">
        <v>9</v>
      </c>
      <c r="D32" s="7" t="s">
        <v>219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42"/>
      <c r="K33" s="42"/>
      <c r="L33" s="53">
        <f t="shared" ref="L33:L63" si="0">I33*6500+H33*4500+G33*4500-F33*3000+E33*16000+D33*14000+C33*1900</f>
        <v>0</v>
      </c>
    </row>
    <row r="34" spans="1:12" x14ac:dyDescent="0.4">
      <c r="A34" s="215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42"/>
      <c r="K47" s="42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42"/>
      <c r="K48" s="42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42"/>
      <c r="K49" s="42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42"/>
      <c r="K50" s="42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42"/>
      <c r="K51" s="14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42"/>
      <c r="K52" s="42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42"/>
      <c r="K53" s="14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42"/>
      <c r="K54" s="42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74">
        <f t="shared" ref="C64:I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89">
        <f t="shared" ref="J64:L64" si="2">SUM(J33:J63)</f>
        <v>0</v>
      </c>
      <c r="K64" s="89">
        <f t="shared" si="2"/>
        <v>0</v>
      </c>
      <c r="L64" s="98">
        <f t="shared" si="2"/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 t="s">
        <v>52</v>
      </c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/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D67:H68"/>
    <mergeCell ref="G23:H24"/>
    <mergeCell ref="A65:L66"/>
    <mergeCell ref="E13:F14"/>
    <mergeCell ref="G15:I16"/>
    <mergeCell ref="A38:B38"/>
    <mergeCell ref="A43:B43"/>
    <mergeCell ref="E23:F24"/>
    <mergeCell ref="A40:B40"/>
    <mergeCell ref="I67:L68"/>
    <mergeCell ref="E21:F22"/>
    <mergeCell ref="A60:B60"/>
    <mergeCell ref="A23:B26"/>
    <mergeCell ref="A17:B18"/>
    <mergeCell ref="A47:B47"/>
    <mergeCell ref="A63:B63"/>
    <mergeCell ref="A61:B61"/>
    <mergeCell ref="A36:B36"/>
    <mergeCell ref="A57:B57"/>
    <mergeCell ref="A54:B54"/>
    <mergeCell ref="A41:B41"/>
    <mergeCell ref="D13:D14"/>
    <mergeCell ref="A32:B32"/>
    <mergeCell ref="A50:B50"/>
    <mergeCell ref="D23:D24"/>
    <mergeCell ref="A56:B56"/>
    <mergeCell ref="G17:H18"/>
    <mergeCell ref="A52:B52"/>
    <mergeCell ref="C25:C26"/>
    <mergeCell ref="A19:B20"/>
    <mergeCell ref="A46:B46"/>
    <mergeCell ref="A37:B37"/>
    <mergeCell ref="G13:I14"/>
    <mergeCell ref="D9:D10"/>
    <mergeCell ref="C17:C18"/>
    <mergeCell ref="D25:D26"/>
    <mergeCell ref="A31:L31"/>
    <mergeCell ref="C19:C20"/>
    <mergeCell ref="D15:D16"/>
    <mergeCell ref="J11:L12"/>
    <mergeCell ref="D17:D18"/>
    <mergeCell ref="C21:C22"/>
    <mergeCell ref="C23:C24"/>
    <mergeCell ref="J13:L14"/>
    <mergeCell ref="D11:D12"/>
    <mergeCell ref="A7:D8"/>
    <mergeCell ref="A15:B16"/>
    <mergeCell ref="A13:B14"/>
    <mergeCell ref="G27:L30"/>
    <mergeCell ref="A21:B22"/>
    <mergeCell ref="C11:C12"/>
    <mergeCell ref="I17:L18"/>
    <mergeCell ref="E7:H8"/>
    <mergeCell ref="I7:L8"/>
    <mergeCell ref="A3:L4"/>
    <mergeCell ref="C13:C14"/>
    <mergeCell ref="D19:D20"/>
    <mergeCell ref="A5:L6"/>
    <mergeCell ref="C15:C16"/>
    <mergeCell ref="A44:B44"/>
    <mergeCell ref="A29:C30"/>
    <mergeCell ref="A58:B58"/>
    <mergeCell ref="D27:F30"/>
    <mergeCell ref="E15:F16"/>
    <mergeCell ref="J15:L16"/>
    <mergeCell ref="A11:B12"/>
    <mergeCell ref="E9:F10"/>
    <mergeCell ref="G9:I10"/>
    <mergeCell ref="E11:F12"/>
    <mergeCell ref="G11:I12"/>
    <mergeCell ref="A55:B55"/>
    <mergeCell ref="J9:L10"/>
    <mergeCell ref="A51:B51"/>
    <mergeCell ref="D21:D22"/>
    <mergeCell ref="A27:C28"/>
    <mergeCell ref="I23:L24"/>
    <mergeCell ref="E17:F18"/>
    <mergeCell ref="A33:B33"/>
    <mergeCell ref="C9:C10"/>
    <mergeCell ref="A9:B10"/>
    <mergeCell ref="A67:C68"/>
    <mergeCell ref="A69:C70"/>
    <mergeCell ref="E25:F26"/>
    <mergeCell ref="I69:L70"/>
    <mergeCell ref="E19:F20"/>
    <mergeCell ref="I21:L22"/>
    <mergeCell ref="A64:B64"/>
    <mergeCell ref="D69:H70"/>
    <mergeCell ref="A42:B42"/>
    <mergeCell ref="A53:B53"/>
    <mergeCell ref="I19:L20"/>
    <mergeCell ref="A35:B35"/>
    <mergeCell ref="A62:B62"/>
    <mergeCell ref="A39:B39"/>
    <mergeCell ref="A48:B48"/>
    <mergeCell ref="G25:L26"/>
    <mergeCell ref="A59:B59"/>
    <mergeCell ref="A45:B45"/>
    <mergeCell ref="G19:H20"/>
    <mergeCell ref="A34:B34"/>
    <mergeCell ref="A49:B49"/>
    <mergeCell ref="G21:H22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70"/>
  <sheetViews>
    <sheetView zoomScale="55" zoomScaleNormal="55" workbookViewId="0">
      <selection activeCell="L35" sqref="L35"/>
    </sheetView>
  </sheetViews>
  <sheetFormatPr defaultRowHeight="13.9" x14ac:dyDescent="0.4"/>
  <cols>
    <col min="1" max="3" width="9.0625" style="3" bestFit="1" customWidth="1"/>
    <col min="4" max="4" width="10.3125" style="3" bestFit="1" customWidth="1"/>
    <col min="5" max="12" width="9.0625" style="3" bestFit="1" customWidth="1"/>
    <col min="13" max="16384" width="9" style="3"/>
  </cols>
  <sheetData>
    <row r="1" spans="1:12" x14ac:dyDescent="0.4">
      <c r="A1" s="31">
        <v>1</v>
      </c>
      <c r="B1" s="31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235" t="s">
        <v>48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53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38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f>C64</f>
        <v>0</v>
      </c>
      <c r="D11" s="214">
        <v>1900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f>D64</f>
        <v>0</v>
      </c>
      <c r="D13" s="214">
        <v>14000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16000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4500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4500</v>
      </c>
      <c r="E19" s="214">
        <f>D19*C19</f>
        <v>0</v>
      </c>
      <c r="F19" s="146"/>
      <c r="G19" s="214" t="s">
        <v>16</v>
      </c>
      <c r="H19" s="146"/>
      <c r="I19" s="223">
        <v>0</v>
      </c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6500</v>
      </c>
      <c r="E21" s="214">
        <f>D21*C21</f>
        <v>0</v>
      </c>
      <c r="F21" s="146"/>
      <c r="G21" s="214"/>
      <c r="H21" s="146"/>
      <c r="I21" s="223">
        <f>I17-L64</f>
        <v>0</v>
      </c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F64</f>
        <v>0</v>
      </c>
      <c r="D25" s="229">
        <v>3000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I17-I21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6" t="s">
        <v>9</v>
      </c>
      <c r="D32" s="7" t="s">
        <v>34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42"/>
      <c r="K33" s="42"/>
      <c r="L33" s="53">
        <f t="shared" ref="L33:L63" si="0">I33*6500+H33*4500+G33*4500-F33*3000+E33*16000+D33*14000+C33*1900</f>
        <v>0</v>
      </c>
    </row>
    <row r="34" spans="1:12" x14ac:dyDescent="0.4">
      <c r="A34" s="215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42"/>
      <c r="K47" s="14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42"/>
      <c r="K48" s="14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42"/>
      <c r="K49" s="14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42"/>
      <c r="K50" s="14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42"/>
      <c r="K51" s="14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42"/>
      <c r="K52" s="14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42"/>
      <c r="K53" s="14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42"/>
      <c r="K54" s="14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74">
        <f t="shared" ref="C64:I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89">
        <f t="shared" ref="J64:L64" si="2">SUM(J33:J63)</f>
        <v>0</v>
      </c>
      <c r="K64" s="89">
        <f t="shared" si="2"/>
        <v>0</v>
      </c>
      <c r="L64" s="98">
        <f t="shared" si="2"/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/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E7:H8"/>
    <mergeCell ref="D69:H70"/>
    <mergeCell ref="J11:L12"/>
    <mergeCell ref="A33:B33"/>
    <mergeCell ref="A32:B32"/>
    <mergeCell ref="A9:B10"/>
    <mergeCell ref="E25:F26"/>
    <mergeCell ref="A50:B50"/>
    <mergeCell ref="J15:L16"/>
    <mergeCell ref="A47:B47"/>
    <mergeCell ref="A11:B12"/>
    <mergeCell ref="A52:B52"/>
    <mergeCell ref="E19:F20"/>
    <mergeCell ref="D23:D24"/>
    <mergeCell ref="G19:H20"/>
    <mergeCell ref="E9:F10"/>
    <mergeCell ref="A34:B34"/>
    <mergeCell ref="A49:B49"/>
    <mergeCell ref="G9:I10"/>
    <mergeCell ref="E11:F12"/>
    <mergeCell ref="A36:B36"/>
    <mergeCell ref="A42:B42"/>
    <mergeCell ref="A53:B53"/>
    <mergeCell ref="A13:B14"/>
    <mergeCell ref="D11:D12"/>
    <mergeCell ref="D21:D22"/>
    <mergeCell ref="A21:B22"/>
    <mergeCell ref="C9:C10"/>
    <mergeCell ref="A64:B64"/>
    <mergeCell ref="A51:B51"/>
    <mergeCell ref="A56:B56"/>
    <mergeCell ref="D15:D16"/>
    <mergeCell ref="A35:B35"/>
    <mergeCell ref="A62:B62"/>
    <mergeCell ref="A39:B39"/>
    <mergeCell ref="A48:B48"/>
    <mergeCell ref="A59:B59"/>
    <mergeCell ref="C25:C26"/>
    <mergeCell ref="A19:B20"/>
    <mergeCell ref="A54:B54"/>
    <mergeCell ref="A41:B41"/>
    <mergeCell ref="C19:C20"/>
    <mergeCell ref="A63:B63"/>
    <mergeCell ref="A61:B61"/>
    <mergeCell ref="A43:B43"/>
    <mergeCell ref="I69:L70"/>
    <mergeCell ref="G23:H24"/>
    <mergeCell ref="A65:L66"/>
    <mergeCell ref="A67:C68"/>
    <mergeCell ref="G27:L30"/>
    <mergeCell ref="I21:L22"/>
    <mergeCell ref="D13:D14"/>
    <mergeCell ref="D17:D18"/>
    <mergeCell ref="G25:L26"/>
    <mergeCell ref="E17:F18"/>
    <mergeCell ref="J13:L14"/>
    <mergeCell ref="I17:L18"/>
    <mergeCell ref="A69:C70"/>
    <mergeCell ref="I67:L68"/>
    <mergeCell ref="E21:F22"/>
    <mergeCell ref="C23:C24"/>
    <mergeCell ref="G21:H22"/>
    <mergeCell ref="A57:B57"/>
    <mergeCell ref="A55:B55"/>
    <mergeCell ref="D67:H68"/>
    <mergeCell ref="C21:C22"/>
    <mergeCell ref="E13:F14"/>
    <mergeCell ref="G15:I16"/>
    <mergeCell ref="A38:B38"/>
    <mergeCell ref="E23:F24"/>
    <mergeCell ref="A40:B40"/>
    <mergeCell ref="A60:B60"/>
    <mergeCell ref="A23:B26"/>
    <mergeCell ref="A17:B18"/>
    <mergeCell ref="G17:H18"/>
    <mergeCell ref="E15:F16"/>
    <mergeCell ref="A45:B45"/>
    <mergeCell ref="I19:L20"/>
    <mergeCell ref="A3:L4"/>
    <mergeCell ref="C13:C14"/>
    <mergeCell ref="D19:D20"/>
    <mergeCell ref="A5:L6"/>
    <mergeCell ref="C15:C16"/>
    <mergeCell ref="A44:B44"/>
    <mergeCell ref="A29:C30"/>
    <mergeCell ref="A58:B58"/>
    <mergeCell ref="A15:B16"/>
    <mergeCell ref="D27:F30"/>
    <mergeCell ref="J9:L10"/>
    <mergeCell ref="I7:L8"/>
    <mergeCell ref="A46:B46"/>
    <mergeCell ref="A37:B37"/>
    <mergeCell ref="G13:I14"/>
    <mergeCell ref="D9:D10"/>
    <mergeCell ref="C17:C18"/>
    <mergeCell ref="D25:D26"/>
    <mergeCell ref="A31:L31"/>
    <mergeCell ref="A27:C28"/>
    <mergeCell ref="I23:L24"/>
    <mergeCell ref="G11:I12"/>
    <mergeCell ref="C11:C12"/>
    <mergeCell ref="A7:D8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70"/>
  <sheetViews>
    <sheetView topLeftCell="A14" zoomScale="55" zoomScaleNormal="55" workbookViewId="0">
      <selection activeCell="L42" sqref="L42"/>
    </sheetView>
  </sheetViews>
  <sheetFormatPr defaultRowHeight="13.9" x14ac:dyDescent="0.4"/>
  <cols>
    <col min="1" max="3" width="9.0625" style="3" bestFit="1" customWidth="1"/>
    <col min="4" max="4" width="10.25" style="3" bestFit="1" customWidth="1"/>
    <col min="5" max="11" width="9.0625" style="3" bestFit="1" customWidth="1"/>
    <col min="12" max="12" width="9.125" style="3" bestFit="1" customWidth="1"/>
    <col min="13" max="16384" width="9" style="3"/>
  </cols>
  <sheetData>
    <row r="1" spans="1:12" x14ac:dyDescent="0.4">
      <c r="A1" s="31">
        <v>1</v>
      </c>
      <c r="B1" s="31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190" t="s">
        <v>54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55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38" t="s">
        <v>56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f>C64</f>
        <v>0</v>
      </c>
      <c r="D11" s="214">
        <v>1900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f>D64</f>
        <v>0</v>
      </c>
      <c r="D13" s="214">
        <v>13000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15000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4500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4500</v>
      </c>
      <c r="E19" s="214">
        <f>D19*C19</f>
        <v>0</v>
      </c>
      <c r="F19" s="146"/>
      <c r="G19" s="214" t="s">
        <v>16</v>
      </c>
      <c r="H19" s="146"/>
      <c r="I19" s="223"/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6000</v>
      </c>
      <c r="E21" s="214">
        <f>D21*C21</f>
        <v>0</v>
      </c>
      <c r="F21" s="146"/>
      <c r="G21" s="214"/>
      <c r="H21" s="146"/>
      <c r="I21" s="223">
        <f>I17-L64</f>
        <v>0</v>
      </c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F64</f>
        <v>0</v>
      </c>
      <c r="D25" s="229">
        <v>3000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I17-I21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6" t="s">
        <v>9</v>
      </c>
      <c r="D32" s="7" t="s">
        <v>219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42"/>
      <c r="K33" s="42"/>
      <c r="L33" s="53">
        <f t="shared" ref="L33:L63" si="0">I33*6000+H33*4500+G33*4500-F33*3000+E33*15000+D33*13000+C33*1900</f>
        <v>0</v>
      </c>
    </row>
    <row r="34" spans="1:12" x14ac:dyDescent="0.4">
      <c r="A34" s="215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42"/>
      <c r="K47" s="14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42"/>
      <c r="K48" s="14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42"/>
      <c r="K49" s="14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42"/>
      <c r="K50" s="14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42"/>
      <c r="K51" s="14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42"/>
      <c r="K52" s="14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42"/>
      <c r="K53" s="14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42"/>
      <c r="K54" s="42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74">
        <f t="shared" ref="C64:I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89">
        <f t="shared" ref="J64:L64" si="2">SUM(J33:J63)</f>
        <v>0</v>
      </c>
      <c r="K64" s="89">
        <f t="shared" si="2"/>
        <v>0</v>
      </c>
      <c r="L64" s="98">
        <f t="shared" si="2"/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 t="s">
        <v>57</v>
      </c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A63:B63"/>
    <mergeCell ref="A55:B55"/>
    <mergeCell ref="A42:B42"/>
    <mergeCell ref="E19:F20"/>
    <mergeCell ref="D23:D24"/>
    <mergeCell ref="G19:H20"/>
    <mergeCell ref="A7:D8"/>
    <mergeCell ref="I7:L8"/>
    <mergeCell ref="A54:B54"/>
    <mergeCell ref="A41:B41"/>
    <mergeCell ref="D13:D14"/>
    <mergeCell ref="A46:B46"/>
    <mergeCell ref="A37:B37"/>
    <mergeCell ref="G13:I14"/>
    <mergeCell ref="D9:D10"/>
    <mergeCell ref="C17:C18"/>
    <mergeCell ref="D25:D26"/>
    <mergeCell ref="A31:L31"/>
    <mergeCell ref="A60:B60"/>
    <mergeCell ref="A23:B26"/>
    <mergeCell ref="A17:B18"/>
    <mergeCell ref="A56:B56"/>
    <mergeCell ref="A33:B33"/>
    <mergeCell ref="A36:B36"/>
    <mergeCell ref="A67:C68"/>
    <mergeCell ref="C25:C26"/>
    <mergeCell ref="A69:C70"/>
    <mergeCell ref="I67:L68"/>
    <mergeCell ref="E21:F22"/>
    <mergeCell ref="C23:C24"/>
    <mergeCell ref="G21:H22"/>
    <mergeCell ref="A57:B57"/>
    <mergeCell ref="D67:H68"/>
    <mergeCell ref="D69:H70"/>
    <mergeCell ref="A64:B64"/>
    <mergeCell ref="A51:B51"/>
    <mergeCell ref="D21:D22"/>
    <mergeCell ref="A21:B22"/>
    <mergeCell ref="A53:B53"/>
    <mergeCell ref="A35:B35"/>
    <mergeCell ref="A62:B62"/>
    <mergeCell ref="I69:L70"/>
    <mergeCell ref="A32:B32"/>
    <mergeCell ref="E25:F26"/>
    <mergeCell ref="A50:B50"/>
    <mergeCell ref="D27:F30"/>
    <mergeCell ref="A65:L66"/>
    <mergeCell ref="A61:B61"/>
    <mergeCell ref="A59:B59"/>
    <mergeCell ref="A45:B45"/>
    <mergeCell ref="I17:L18"/>
    <mergeCell ref="A39:B39"/>
    <mergeCell ref="A48:B48"/>
    <mergeCell ref="G25:L26"/>
    <mergeCell ref="A58:B58"/>
    <mergeCell ref="A52:B52"/>
    <mergeCell ref="A27:C28"/>
    <mergeCell ref="I23:L24"/>
    <mergeCell ref="A38:B38"/>
    <mergeCell ref="A43:B43"/>
    <mergeCell ref="E23:F24"/>
    <mergeCell ref="A40:B40"/>
    <mergeCell ref="A47:B47"/>
    <mergeCell ref="A34:B34"/>
    <mergeCell ref="A49:B49"/>
    <mergeCell ref="G23:H24"/>
    <mergeCell ref="C19:C20"/>
    <mergeCell ref="G15:I16"/>
    <mergeCell ref="A15:B16"/>
    <mergeCell ref="A9:B10"/>
    <mergeCell ref="E13:F14"/>
    <mergeCell ref="G17:H18"/>
    <mergeCell ref="D11:D12"/>
    <mergeCell ref="C21:C22"/>
    <mergeCell ref="G27:L30"/>
    <mergeCell ref="I21:L22"/>
    <mergeCell ref="A19:B20"/>
    <mergeCell ref="I19:L20"/>
    <mergeCell ref="A3:L4"/>
    <mergeCell ref="C13:C14"/>
    <mergeCell ref="D19:D20"/>
    <mergeCell ref="A5:L6"/>
    <mergeCell ref="C15:C16"/>
    <mergeCell ref="A44:B44"/>
    <mergeCell ref="A29:C30"/>
    <mergeCell ref="A11:B12"/>
    <mergeCell ref="E9:F10"/>
    <mergeCell ref="G9:I10"/>
    <mergeCell ref="E7:H8"/>
    <mergeCell ref="E11:F12"/>
    <mergeCell ref="G11:I12"/>
    <mergeCell ref="J9:L10"/>
    <mergeCell ref="D15:D16"/>
    <mergeCell ref="J11:L12"/>
    <mergeCell ref="C9:C10"/>
    <mergeCell ref="A13:B14"/>
    <mergeCell ref="E15:F16"/>
    <mergeCell ref="D17:D18"/>
    <mergeCell ref="J15:L16"/>
    <mergeCell ref="E17:F18"/>
    <mergeCell ref="J13:L14"/>
    <mergeCell ref="C11:C12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70"/>
  <sheetViews>
    <sheetView zoomScale="55" zoomScaleNormal="55" workbookViewId="0">
      <selection activeCell="L36" sqref="L36"/>
    </sheetView>
  </sheetViews>
  <sheetFormatPr defaultRowHeight="13.9" x14ac:dyDescent="0.4"/>
  <cols>
    <col min="1" max="3" width="9.0625" style="3" bestFit="1" customWidth="1"/>
    <col min="4" max="4" width="10.3125" style="3" bestFit="1" customWidth="1"/>
    <col min="5" max="12" width="9.0625" style="3" bestFit="1" customWidth="1"/>
    <col min="13" max="16384" width="9" style="3"/>
  </cols>
  <sheetData>
    <row r="1" spans="1:12" x14ac:dyDescent="0.4">
      <c r="A1" s="31">
        <v>1</v>
      </c>
      <c r="B1" s="31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190" t="s">
        <v>58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59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38" t="s">
        <v>60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f>C64</f>
        <v>0</v>
      </c>
      <c r="D11" s="214">
        <v>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f>D64</f>
        <v>0</v>
      </c>
      <c r="D13" s="214">
        <v>14000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16000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0</v>
      </c>
      <c r="E19" s="214">
        <f>D19*C19</f>
        <v>0</v>
      </c>
      <c r="F19" s="146"/>
      <c r="G19" s="214" t="s">
        <v>16</v>
      </c>
      <c r="H19" s="146"/>
      <c r="I19" s="223"/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6500</v>
      </c>
      <c r="E21" s="214">
        <f>D21*C21</f>
        <v>0</v>
      </c>
      <c r="F21" s="146"/>
      <c r="G21" s="214" t="s">
        <v>18</v>
      </c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F64</f>
        <v>0</v>
      </c>
      <c r="D25" s="229">
        <v>3000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I17+I19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6" t="s">
        <v>9</v>
      </c>
      <c r="D32" s="7" t="s">
        <v>219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42"/>
      <c r="K33" s="42"/>
      <c r="L33" s="53">
        <f t="shared" ref="L33:L63" si="0">I33*6500-F33*3000+E33*16000+D33*14000</f>
        <v>0</v>
      </c>
    </row>
    <row r="34" spans="1:12" x14ac:dyDescent="0.4">
      <c r="A34" s="215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42"/>
      <c r="K37" s="14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42"/>
      <c r="K38" s="14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42"/>
      <c r="K47" s="42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42"/>
      <c r="K48" s="42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42"/>
      <c r="K49" s="42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42"/>
      <c r="K50" s="42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42"/>
      <c r="K51" s="42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42"/>
      <c r="K52" s="42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42"/>
      <c r="K53" s="42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42"/>
      <c r="K54" s="42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74">
        <f t="shared" ref="C64:I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89">
        <f t="shared" ref="J64:L64" si="2">SUM(J33:J63)</f>
        <v>0</v>
      </c>
      <c r="K64" s="89">
        <f t="shared" si="2"/>
        <v>0</v>
      </c>
      <c r="L64" s="98">
        <f t="shared" si="2"/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 t="s">
        <v>61</v>
      </c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E19:F20"/>
    <mergeCell ref="D23:D24"/>
    <mergeCell ref="G19:H20"/>
    <mergeCell ref="A48:B48"/>
    <mergeCell ref="I23:L24"/>
    <mergeCell ref="A38:B38"/>
    <mergeCell ref="A43:B43"/>
    <mergeCell ref="E23:F24"/>
    <mergeCell ref="A40:B40"/>
    <mergeCell ref="A23:B26"/>
    <mergeCell ref="D27:F30"/>
    <mergeCell ref="A45:B45"/>
    <mergeCell ref="D19:D20"/>
    <mergeCell ref="C25:C26"/>
    <mergeCell ref="A37:B37"/>
    <mergeCell ref="D25:D26"/>
    <mergeCell ref="A31:L31"/>
    <mergeCell ref="A27:C28"/>
    <mergeCell ref="A34:B34"/>
    <mergeCell ref="A56:B56"/>
    <mergeCell ref="A65:L66"/>
    <mergeCell ref="A64:B64"/>
    <mergeCell ref="E25:F26"/>
    <mergeCell ref="A50:B50"/>
    <mergeCell ref="A47:B47"/>
    <mergeCell ref="A60:B60"/>
    <mergeCell ref="A59:B59"/>
    <mergeCell ref="A52:B52"/>
    <mergeCell ref="A63:B63"/>
    <mergeCell ref="A61:B61"/>
    <mergeCell ref="I21:L22"/>
    <mergeCell ref="A58:B58"/>
    <mergeCell ref="C19:C20"/>
    <mergeCell ref="E15:F16"/>
    <mergeCell ref="D11:D12"/>
    <mergeCell ref="C9:C10"/>
    <mergeCell ref="I69:L70"/>
    <mergeCell ref="G23:H24"/>
    <mergeCell ref="A67:C68"/>
    <mergeCell ref="A69:C70"/>
    <mergeCell ref="A49:B49"/>
    <mergeCell ref="A36:B36"/>
    <mergeCell ref="C21:C22"/>
    <mergeCell ref="A51:B51"/>
    <mergeCell ref="D21:D22"/>
    <mergeCell ref="A21:B22"/>
    <mergeCell ref="A54:B54"/>
    <mergeCell ref="A41:B41"/>
    <mergeCell ref="A46:B46"/>
    <mergeCell ref="D69:H70"/>
    <mergeCell ref="A44:B44"/>
    <mergeCell ref="A29:C30"/>
    <mergeCell ref="A33:B33"/>
    <mergeCell ref="A42:B42"/>
    <mergeCell ref="D17:D18"/>
    <mergeCell ref="E17:F18"/>
    <mergeCell ref="E13:F14"/>
    <mergeCell ref="G15:I16"/>
    <mergeCell ref="D13:D14"/>
    <mergeCell ref="J15:L16"/>
    <mergeCell ref="D67:H68"/>
    <mergeCell ref="A9:B10"/>
    <mergeCell ref="A55:B55"/>
    <mergeCell ref="I67:L68"/>
    <mergeCell ref="E21:F22"/>
    <mergeCell ref="C23:C24"/>
    <mergeCell ref="G21:H22"/>
    <mergeCell ref="A57:B57"/>
    <mergeCell ref="A15:B16"/>
    <mergeCell ref="I19:L20"/>
    <mergeCell ref="A53:B53"/>
    <mergeCell ref="A35:B35"/>
    <mergeCell ref="A62:B62"/>
    <mergeCell ref="A39:B39"/>
    <mergeCell ref="G25:L26"/>
    <mergeCell ref="A32:B32"/>
    <mergeCell ref="A13:B14"/>
    <mergeCell ref="G27:L30"/>
    <mergeCell ref="A11:B12"/>
    <mergeCell ref="E9:F10"/>
    <mergeCell ref="G9:I10"/>
    <mergeCell ref="E7:H8"/>
    <mergeCell ref="A3:L4"/>
    <mergeCell ref="C13:C14"/>
    <mergeCell ref="A5:L6"/>
    <mergeCell ref="C15:C16"/>
    <mergeCell ref="A19:B20"/>
    <mergeCell ref="J13:L14"/>
    <mergeCell ref="C11:C12"/>
    <mergeCell ref="I17:L18"/>
    <mergeCell ref="A7:D8"/>
    <mergeCell ref="I7:L8"/>
    <mergeCell ref="G13:I14"/>
    <mergeCell ref="D9:D10"/>
    <mergeCell ref="C17:C18"/>
    <mergeCell ref="E11:F12"/>
    <mergeCell ref="G11:I12"/>
    <mergeCell ref="J9:L10"/>
    <mergeCell ref="D15:D16"/>
    <mergeCell ref="J11:L12"/>
    <mergeCell ref="G17:H18"/>
    <mergeCell ref="A17:B18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L70"/>
  <sheetViews>
    <sheetView zoomScale="55" zoomScaleNormal="55" workbookViewId="0">
      <selection activeCell="C32" sqref="C32:I64"/>
    </sheetView>
  </sheetViews>
  <sheetFormatPr defaultRowHeight="13.9" x14ac:dyDescent="0.4"/>
  <cols>
    <col min="1" max="3" width="9.0625" style="3" bestFit="1" customWidth="1"/>
    <col min="4" max="4" width="10.25" style="3" bestFit="1" customWidth="1"/>
    <col min="5" max="12" width="9.0625" style="3" bestFit="1" customWidth="1"/>
    <col min="13" max="16384" width="9" style="3"/>
  </cols>
  <sheetData>
    <row r="1" spans="1:12" x14ac:dyDescent="0.4">
      <c r="A1" s="31">
        <v>1</v>
      </c>
      <c r="B1" s="31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190" t="s">
        <v>58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62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38" t="s">
        <v>63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f>C64</f>
        <v>0</v>
      </c>
      <c r="D11" s="214">
        <v>1900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f>D64</f>
        <v>0</v>
      </c>
      <c r="D13" s="214">
        <v>10500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13000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0</v>
      </c>
      <c r="E19" s="214">
        <f>D19*C19</f>
        <v>0</v>
      </c>
      <c r="F19" s="146"/>
      <c r="G19" s="214" t="s">
        <v>16</v>
      </c>
      <c r="H19" s="146"/>
      <c r="I19" s="223"/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6500</v>
      </c>
      <c r="E21" s="214">
        <f>D21*C21</f>
        <v>0</v>
      </c>
      <c r="F21" s="146"/>
      <c r="G21" s="214" t="s">
        <v>18</v>
      </c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F64</f>
        <v>0</v>
      </c>
      <c r="D25" s="229">
        <v>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I17+I19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6" t="s">
        <v>9</v>
      </c>
      <c r="D32" s="7" t="s">
        <v>219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42"/>
      <c r="K33" s="42"/>
      <c r="L33" s="53">
        <f t="shared" ref="L33:L63" si="0">I33*6500+E33*13000+D33*10500+C33*1900</f>
        <v>0</v>
      </c>
    </row>
    <row r="34" spans="1:12" x14ac:dyDescent="0.4">
      <c r="A34" s="215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42"/>
      <c r="K47" s="42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42"/>
      <c r="K48" s="42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42"/>
      <c r="K49" s="42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42"/>
      <c r="K50" s="42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42"/>
      <c r="K51" s="42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42"/>
      <c r="K52" s="42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42"/>
      <c r="K53" s="42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42"/>
      <c r="K54" s="42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74">
        <f t="shared" ref="C64:I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89">
        <f t="shared" ref="J64:L64" si="2">SUM(J33:J63)</f>
        <v>0</v>
      </c>
      <c r="K64" s="89">
        <f t="shared" si="2"/>
        <v>0</v>
      </c>
      <c r="L64" s="98">
        <f t="shared" si="2"/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 t="s">
        <v>64</v>
      </c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I7:L8"/>
    <mergeCell ref="A54:B54"/>
    <mergeCell ref="A41:B41"/>
    <mergeCell ref="D13:D14"/>
    <mergeCell ref="A46:B46"/>
    <mergeCell ref="A37:B37"/>
    <mergeCell ref="G13:I14"/>
    <mergeCell ref="D9:D10"/>
    <mergeCell ref="C17:C18"/>
    <mergeCell ref="D25:D26"/>
    <mergeCell ref="A31:L31"/>
    <mergeCell ref="A27:C28"/>
    <mergeCell ref="I23:L24"/>
    <mergeCell ref="E17:F18"/>
    <mergeCell ref="C19:C20"/>
    <mergeCell ref="G17:H18"/>
    <mergeCell ref="A52:B52"/>
    <mergeCell ref="A7:D8"/>
    <mergeCell ref="C21:C22"/>
    <mergeCell ref="J9:L10"/>
    <mergeCell ref="D15:D16"/>
    <mergeCell ref="J11:L12"/>
    <mergeCell ref="A33:B33"/>
    <mergeCell ref="A42:B42"/>
    <mergeCell ref="I19:L20"/>
    <mergeCell ref="A35:B35"/>
    <mergeCell ref="A61:B61"/>
    <mergeCell ref="A13:B14"/>
    <mergeCell ref="G27:L30"/>
    <mergeCell ref="I21:L22"/>
    <mergeCell ref="C25:C26"/>
    <mergeCell ref="A19:B20"/>
    <mergeCell ref="J13:L14"/>
    <mergeCell ref="G23:H24"/>
    <mergeCell ref="A21:B22"/>
    <mergeCell ref="D69:H70"/>
    <mergeCell ref="A53:B53"/>
    <mergeCell ref="A62:B62"/>
    <mergeCell ref="A39:B39"/>
    <mergeCell ref="A48:B48"/>
    <mergeCell ref="G25:L26"/>
    <mergeCell ref="A59:B59"/>
    <mergeCell ref="A45:B45"/>
    <mergeCell ref="A32:B32"/>
    <mergeCell ref="A50:B50"/>
    <mergeCell ref="A47:B47"/>
    <mergeCell ref="A34:B34"/>
    <mergeCell ref="A49:B49"/>
    <mergeCell ref="A36:B36"/>
    <mergeCell ref="A64:B64"/>
    <mergeCell ref="A63:B63"/>
    <mergeCell ref="I69:L70"/>
    <mergeCell ref="A67:C68"/>
    <mergeCell ref="A69:C70"/>
    <mergeCell ref="A9:B10"/>
    <mergeCell ref="E25:F26"/>
    <mergeCell ref="A55:B55"/>
    <mergeCell ref="I67:L68"/>
    <mergeCell ref="E21:F22"/>
    <mergeCell ref="C23:C24"/>
    <mergeCell ref="G21:H22"/>
    <mergeCell ref="A57:B57"/>
    <mergeCell ref="A65:L66"/>
    <mergeCell ref="E13:F14"/>
    <mergeCell ref="G15:I16"/>
    <mergeCell ref="A38:B38"/>
    <mergeCell ref="A43:B43"/>
    <mergeCell ref="E23:F24"/>
    <mergeCell ref="A40:B40"/>
    <mergeCell ref="A60:B60"/>
    <mergeCell ref="A23:B26"/>
    <mergeCell ref="A17:B18"/>
    <mergeCell ref="C11:C12"/>
    <mergeCell ref="I17:L18"/>
    <mergeCell ref="A51:B51"/>
    <mergeCell ref="D21:D22"/>
    <mergeCell ref="D67:H68"/>
    <mergeCell ref="A56:B56"/>
    <mergeCell ref="E7:H8"/>
    <mergeCell ref="A3:L4"/>
    <mergeCell ref="C13:C14"/>
    <mergeCell ref="D19:D20"/>
    <mergeCell ref="A5:L6"/>
    <mergeCell ref="C15:C16"/>
    <mergeCell ref="A44:B44"/>
    <mergeCell ref="A29:C30"/>
    <mergeCell ref="A58:B58"/>
    <mergeCell ref="A15:B16"/>
    <mergeCell ref="D27:F30"/>
    <mergeCell ref="E15:F16"/>
    <mergeCell ref="D17:D18"/>
    <mergeCell ref="D11:D12"/>
    <mergeCell ref="J15:L16"/>
    <mergeCell ref="A11:B12"/>
    <mergeCell ref="E19:F20"/>
    <mergeCell ref="D23:D24"/>
    <mergeCell ref="G19:H20"/>
    <mergeCell ref="E9:F10"/>
    <mergeCell ref="G9:I10"/>
    <mergeCell ref="E11:F12"/>
    <mergeCell ref="G11:I12"/>
    <mergeCell ref="C9:C10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L70"/>
  <sheetViews>
    <sheetView zoomScale="55" zoomScaleNormal="55" workbookViewId="0">
      <selection activeCell="M55" sqref="M55"/>
    </sheetView>
  </sheetViews>
  <sheetFormatPr defaultRowHeight="13.9" x14ac:dyDescent="0.4"/>
  <cols>
    <col min="1" max="3" width="9.0625" style="3" bestFit="1" customWidth="1"/>
    <col min="4" max="4" width="10.25" style="3" bestFit="1" customWidth="1"/>
    <col min="5" max="12" width="9.0625" style="3" bestFit="1" customWidth="1"/>
    <col min="13" max="16384" width="9" style="3"/>
  </cols>
  <sheetData>
    <row r="1" spans="1:12" x14ac:dyDescent="0.4">
      <c r="A1" s="23">
        <v>1</v>
      </c>
      <c r="B1" s="2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235" t="s">
        <v>48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65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38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f>C64</f>
        <v>0</v>
      </c>
      <c r="D11" s="214">
        <v>1900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f>D64</f>
        <v>0</v>
      </c>
      <c r="D13" s="214">
        <v>13000</v>
      </c>
      <c r="E13" s="214">
        <f>D13*C13</f>
        <v>0</v>
      </c>
      <c r="F13" s="146"/>
      <c r="G13" s="214"/>
      <c r="H13" s="146"/>
      <c r="I13" s="223"/>
      <c r="J13" s="151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48"/>
      <c r="I14" s="147"/>
      <c r="J14" s="154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15000</v>
      </c>
      <c r="E15" s="214">
        <f>D15*C15</f>
        <v>0</v>
      </c>
      <c r="F15" s="146"/>
      <c r="G15" s="214"/>
      <c r="H15" s="146"/>
      <c r="I15" s="223"/>
      <c r="J15" s="151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48"/>
      <c r="I16" s="147"/>
      <c r="J16" s="154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4500</v>
      </c>
      <c r="E17" s="214">
        <f>D17*C17</f>
        <v>0</v>
      </c>
      <c r="F17" s="146"/>
      <c r="G17" s="214"/>
      <c r="H17" s="146"/>
      <c r="I17" s="223"/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4500</v>
      </c>
      <c r="E19" s="214">
        <f>D19*C19</f>
        <v>0</v>
      </c>
      <c r="F19" s="146"/>
      <c r="G19" s="214"/>
      <c r="H19" s="146"/>
      <c r="I19" s="223"/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6000</v>
      </c>
      <c r="E21" s="214">
        <f>D21*C21</f>
        <v>0</v>
      </c>
      <c r="F21" s="146"/>
      <c r="G21" s="214"/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F64</f>
        <v>0</v>
      </c>
      <c r="D25" s="229">
        <v>3000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D27-I19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6" t="s">
        <v>9</v>
      </c>
      <c r="D32" s="7" t="s">
        <v>34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42"/>
      <c r="K32" s="14"/>
      <c r="L32" s="2" t="s">
        <v>26</v>
      </c>
    </row>
    <row r="33" spans="1:12" x14ac:dyDescent="0.4">
      <c r="A33" s="215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42"/>
      <c r="K33" s="14"/>
      <c r="L33" s="53">
        <f t="shared" ref="L33:L63" si="0">I33*6000+H33*4500+G33*4500-F33*3000+E33*15000+D33*13000+C33*1900</f>
        <v>0</v>
      </c>
    </row>
    <row r="34" spans="1:12" x14ac:dyDescent="0.4">
      <c r="A34" s="215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42"/>
      <c r="K34" s="14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42"/>
      <c r="K35" s="14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42"/>
      <c r="K36" s="14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42"/>
      <c r="K37" s="14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42"/>
      <c r="K38" s="14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42"/>
      <c r="K39" s="14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42"/>
      <c r="K40" s="14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42"/>
      <c r="K41" s="14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42"/>
      <c r="K42" s="14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42"/>
      <c r="K43" s="14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42"/>
      <c r="K44" s="14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42"/>
      <c r="K45" s="14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42"/>
      <c r="K46" s="14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42"/>
      <c r="K47" s="14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42"/>
      <c r="K48" s="14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42"/>
      <c r="K49" s="14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42"/>
      <c r="K50" s="14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42"/>
      <c r="K51" s="14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42"/>
      <c r="K52" s="14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42"/>
      <c r="K53" s="14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42"/>
      <c r="K54" s="14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42"/>
      <c r="K55" s="14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42"/>
      <c r="K56" s="14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42"/>
      <c r="K57" s="14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42"/>
      <c r="K58" s="14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42"/>
      <c r="K59" s="14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42"/>
      <c r="K60" s="14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42"/>
      <c r="K61" s="14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42"/>
      <c r="K62" s="14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42"/>
      <c r="K63" s="14"/>
      <c r="L63" s="53">
        <f t="shared" si="0"/>
        <v>0</v>
      </c>
    </row>
    <row r="64" spans="1:12" x14ac:dyDescent="0.4">
      <c r="A64" s="234" t="s">
        <v>26</v>
      </c>
      <c r="B64" s="115"/>
      <c r="C64" s="74">
        <f t="shared" ref="C64:I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237"/>
      <c r="K64" s="115"/>
      <c r="L64" s="98">
        <f>SUM(L33:L63)</f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 t="s">
        <v>66</v>
      </c>
      <c r="E67" s="114"/>
      <c r="F67" s="114"/>
      <c r="G67" s="114"/>
      <c r="H67" s="115"/>
      <c r="I67" s="113" t="s">
        <v>67</v>
      </c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3">
    <mergeCell ref="C21:C22"/>
    <mergeCell ref="A55:B55"/>
    <mergeCell ref="I19:L20"/>
    <mergeCell ref="A36:B36"/>
    <mergeCell ref="J11:L12"/>
    <mergeCell ref="A45:B45"/>
    <mergeCell ref="E19:F20"/>
    <mergeCell ref="A48:B48"/>
    <mergeCell ref="A34:B34"/>
    <mergeCell ref="A49:B49"/>
    <mergeCell ref="A23:B26"/>
    <mergeCell ref="G23:H24"/>
    <mergeCell ref="A38:B38"/>
    <mergeCell ref="A43:B43"/>
    <mergeCell ref="E23:F24"/>
    <mergeCell ref="A40:B40"/>
    <mergeCell ref="A42:B42"/>
    <mergeCell ref="A52:B52"/>
    <mergeCell ref="A59:B59"/>
    <mergeCell ref="A63:B63"/>
    <mergeCell ref="A54:B54"/>
    <mergeCell ref="A41:B41"/>
    <mergeCell ref="A50:B50"/>
    <mergeCell ref="A47:B47"/>
    <mergeCell ref="A58:B58"/>
    <mergeCell ref="A46:B46"/>
    <mergeCell ref="A37:B37"/>
    <mergeCell ref="A53:B53"/>
    <mergeCell ref="A56:B56"/>
    <mergeCell ref="A61:B61"/>
    <mergeCell ref="A60:B60"/>
    <mergeCell ref="A3:L4"/>
    <mergeCell ref="C13:C14"/>
    <mergeCell ref="D19:D20"/>
    <mergeCell ref="A5:L6"/>
    <mergeCell ref="C15:C16"/>
    <mergeCell ref="I7:L8"/>
    <mergeCell ref="E7:H8"/>
    <mergeCell ref="A7:D8"/>
    <mergeCell ref="I15:L16"/>
    <mergeCell ref="D9:D10"/>
    <mergeCell ref="C17:C18"/>
    <mergeCell ref="I13:L14"/>
    <mergeCell ref="E17:F18"/>
    <mergeCell ref="A9:B10"/>
    <mergeCell ref="I17:L18"/>
    <mergeCell ref="J9:L10"/>
    <mergeCell ref="E11:F12"/>
    <mergeCell ref="G11:I12"/>
    <mergeCell ref="A15:B16"/>
    <mergeCell ref="A17:B18"/>
    <mergeCell ref="C9:C10"/>
    <mergeCell ref="E13:F14"/>
    <mergeCell ref="G13:H14"/>
    <mergeCell ref="C11:C12"/>
    <mergeCell ref="E9:F10"/>
    <mergeCell ref="G9:I10"/>
    <mergeCell ref="A29:C30"/>
    <mergeCell ref="D23:D24"/>
    <mergeCell ref="G19:H20"/>
    <mergeCell ref="C19:C20"/>
    <mergeCell ref="E25:F26"/>
    <mergeCell ref="I21:L22"/>
    <mergeCell ref="D25:D26"/>
    <mergeCell ref="E15:F16"/>
    <mergeCell ref="G15:H16"/>
    <mergeCell ref="A27:C28"/>
    <mergeCell ref="I23:L24"/>
    <mergeCell ref="D17:D18"/>
    <mergeCell ref="D11:D12"/>
    <mergeCell ref="A13:B14"/>
    <mergeCell ref="G27:L30"/>
    <mergeCell ref="D13:D14"/>
    <mergeCell ref="A11:B12"/>
    <mergeCell ref="G17:H18"/>
    <mergeCell ref="D21:D22"/>
    <mergeCell ref="A21:B22"/>
    <mergeCell ref="G25:L26"/>
    <mergeCell ref="D15:D16"/>
    <mergeCell ref="A69:C70"/>
    <mergeCell ref="I69:L70"/>
    <mergeCell ref="A65:L66"/>
    <mergeCell ref="A67:C68"/>
    <mergeCell ref="C25:C26"/>
    <mergeCell ref="A19:B20"/>
    <mergeCell ref="I67:L68"/>
    <mergeCell ref="E21:F22"/>
    <mergeCell ref="C23:C24"/>
    <mergeCell ref="G21:H22"/>
    <mergeCell ref="A57:B57"/>
    <mergeCell ref="D27:F30"/>
    <mergeCell ref="A32:B32"/>
    <mergeCell ref="D67:H68"/>
    <mergeCell ref="D69:H70"/>
    <mergeCell ref="A33:B33"/>
    <mergeCell ref="A44:B44"/>
    <mergeCell ref="A31:L31"/>
    <mergeCell ref="A64:B64"/>
    <mergeCell ref="A51:B51"/>
    <mergeCell ref="A35:B35"/>
    <mergeCell ref="A62:B62"/>
    <mergeCell ref="A39:B39"/>
    <mergeCell ref="J64:K64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L70"/>
  <sheetViews>
    <sheetView zoomScale="55" zoomScaleNormal="55" workbookViewId="0">
      <selection activeCell="L33" sqref="L33:L63"/>
    </sheetView>
  </sheetViews>
  <sheetFormatPr defaultRowHeight="13.9" x14ac:dyDescent="0.4"/>
  <cols>
    <col min="1" max="3" width="9.0625" style="3" bestFit="1" customWidth="1"/>
    <col min="4" max="4" width="10.3125" style="3" bestFit="1" customWidth="1"/>
    <col min="5" max="12" width="9.0625" style="3" bestFit="1" customWidth="1"/>
    <col min="13" max="16384" width="9" style="3"/>
  </cols>
  <sheetData>
    <row r="1" spans="1:12" x14ac:dyDescent="0.4">
      <c r="A1" s="31">
        <v>1</v>
      </c>
      <c r="B1" s="31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190" t="s">
        <v>68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69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38" t="s">
        <v>70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f>C64</f>
        <v>0</v>
      </c>
      <c r="D11" s="214">
        <v>1900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f>D64</f>
        <v>0</v>
      </c>
      <c r="D13" s="214">
        <v>14000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16000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3700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3700</v>
      </c>
      <c r="E19" s="214">
        <f>D19*C19</f>
        <v>0</v>
      </c>
      <c r="F19" s="146"/>
      <c r="G19" s="214"/>
      <c r="H19" s="146"/>
      <c r="I19" s="223">
        <v>0</v>
      </c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5500</v>
      </c>
      <c r="E21" s="214">
        <f>D21*C21</f>
        <v>0</v>
      </c>
      <c r="F21" s="146"/>
      <c r="G21" s="214"/>
      <c r="H21" s="146"/>
      <c r="I21" s="223">
        <f>I17-L64</f>
        <v>0</v>
      </c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F64</f>
        <v>0</v>
      </c>
      <c r="D25" s="229">
        <v>3000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I17-I21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6" t="s">
        <v>9</v>
      </c>
      <c r="D32" s="7" t="s">
        <v>219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42"/>
      <c r="K33" s="42"/>
      <c r="L33" s="53">
        <f t="shared" ref="L33:L63" si="0">I33*5500+H33*3700+G33*3700-F33*3000+E33*16000+D33*14000+C33*1900</f>
        <v>0</v>
      </c>
    </row>
    <row r="34" spans="1:12" x14ac:dyDescent="0.4">
      <c r="A34" s="215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42"/>
      <c r="K46" s="14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42"/>
      <c r="K47" s="14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42"/>
      <c r="K48" s="14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42"/>
      <c r="K49" s="14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42"/>
      <c r="K50" s="14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42"/>
      <c r="K51" s="14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42"/>
      <c r="K52" s="14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42"/>
      <c r="K53" s="14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42"/>
      <c r="K54" s="14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74">
        <f t="shared" ref="C64:I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89">
        <f t="shared" ref="J64:L64" si="2">SUM(J33:J63)</f>
        <v>0</v>
      </c>
      <c r="K64" s="89">
        <f t="shared" si="2"/>
        <v>0</v>
      </c>
      <c r="L64" s="98">
        <f t="shared" si="2"/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 t="s">
        <v>71</v>
      </c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A7:D8"/>
    <mergeCell ref="E17:F18"/>
    <mergeCell ref="C19:C20"/>
    <mergeCell ref="G17:H18"/>
    <mergeCell ref="E15:F16"/>
    <mergeCell ref="A45:B45"/>
    <mergeCell ref="D17:D18"/>
    <mergeCell ref="D11:D12"/>
    <mergeCell ref="A21:B22"/>
    <mergeCell ref="A33:B33"/>
    <mergeCell ref="C21:C22"/>
    <mergeCell ref="C9:C10"/>
    <mergeCell ref="C11:C12"/>
    <mergeCell ref="E7:H8"/>
    <mergeCell ref="A9:B10"/>
    <mergeCell ref="E25:F26"/>
    <mergeCell ref="E9:F10"/>
    <mergeCell ref="A34:B34"/>
    <mergeCell ref="G9:I10"/>
    <mergeCell ref="E11:F12"/>
    <mergeCell ref="A36:B36"/>
    <mergeCell ref="G11:I12"/>
    <mergeCell ref="A42:B42"/>
    <mergeCell ref="I19:L20"/>
    <mergeCell ref="G25:L26"/>
    <mergeCell ref="G15:I16"/>
    <mergeCell ref="A38:B38"/>
    <mergeCell ref="E23:F24"/>
    <mergeCell ref="A40:B40"/>
    <mergeCell ref="J11:L12"/>
    <mergeCell ref="A32:B32"/>
    <mergeCell ref="G23:H24"/>
    <mergeCell ref="E13:F14"/>
    <mergeCell ref="J15:L16"/>
    <mergeCell ref="A11:B12"/>
    <mergeCell ref="E19:F20"/>
    <mergeCell ref="G19:H20"/>
    <mergeCell ref="A51:B51"/>
    <mergeCell ref="D21:D22"/>
    <mergeCell ref="A56:B56"/>
    <mergeCell ref="D15:D16"/>
    <mergeCell ref="A35:B35"/>
    <mergeCell ref="A62:B62"/>
    <mergeCell ref="A39:B39"/>
    <mergeCell ref="A48:B48"/>
    <mergeCell ref="A50:B50"/>
    <mergeCell ref="A47:B47"/>
    <mergeCell ref="A52:B52"/>
    <mergeCell ref="D23:D24"/>
    <mergeCell ref="A60:B60"/>
    <mergeCell ref="A23:B26"/>
    <mergeCell ref="A17:B18"/>
    <mergeCell ref="A49:B49"/>
    <mergeCell ref="A43:B43"/>
    <mergeCell ref="A67:C68"/>
    <mergeCell ref="J13:L14"/>
    <mergeCell ref="I17:L18"/>
    <mergeCell ref="A69:C70"/>
    <mergeCell ref="I67:L68"/>
    <mergeCell ref="E21:F22"/>
    <mergeCell ref="C23:C24"/>
    <mergeCell ref="G21:H22"/>
    <mergeCell ref="A57:B57"/>
    <mergeCell ref="A55:B55"/>
    <mergeCell ref="D67:H68"/>
    <mergeCell ref="A61:B61"/>
    <mergeCell ref="A59:B59"/>
    <mergeCell ref="C25:C26"/>
    <mergeCell ref="A19:B20"/>
    <mergeCell ref="A54:B54"/>
    <mergeCell ref="A41:B41"/>
    <mergeCell ref="D13:D14"/>
    <mergeCell ref="D69:H70"/>
    <mergeCell ref="I69:L70"/>
    <mergeCell ref="A65:L66"/>
    <mergeCell ref="A53:B53"/>
    <mergeCell ref="A63:B63"/>
    <mergeCell ref="A64:B64"/>
    <mergeCell ref="A3:L4"/>
    <mergeCell ref="C13:C14"/>
    <mergeCell ref="D19:D20"/>
    <mergeCell ref="A5:L6"/>
    <mergeCell ref="C15:C16"/>
    <mergeCell ref="A44:B44"/>
    <mergeCell ref="A29:C30"/>
    <mergeCell ref="A58:B58"/>
    <mergeCell ref="A15:B16"/>
    <mergeCell ref="D27:F30"/>
    <mergeCell ref="J9:L10"/>
    <mergeCell ref="I7:L8"/>
    <mergeCell ref="A46:B46"/>
    <mergeCell ref="A37:B37"/>
    <mergeCell ref="G13:I14"/>
    <mergeCell ref="D9:D10"/>
    <mergeCell ref="C17:C18"/>
    <mergeCell ref="D25:D26"/>
    <mergeCell ref="A31:L31"/>
    <mergeCell ref="A27:C28"/>
    <mergeCell ref="I23:L24"/>
    <mergeCell ref="A13:B14"/>
    <mergeCell ref="G27:L30"/>
    <mergeCell ref="I21:L22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L70"/>
  <sheetViews>
    <sheetView zoomScale="55" zoomScaleNormal="55" workbookViewId="0">
      <selection activeCell="L38" sqref="L38"/>
    </sheetView>
  </sheetViews>
  <sheetFormatPr defaultRowHeight="13.9" x14ac:dyDescent="0.4"/>
  <cols>
    <col min="1" max="3" width="9.0625" style="3" bestFit="1" customWidth="1"/>
    <col min="4" max="4" width="10.25" style="3" bestFit="1" customWidth="1"/>
    <col min="5" max="12" width="9.0625" style="3" bestFit="1" customWidth="1"/>
    <col min="13" max="16384" width="9" style="3"/>
  </cols>
  <sheetData>
    <row r="1" spans="1:12" x14ac:dyDescent="0.4">
      <c r="A1" s="23">
        <v>1</v>
      </c>
      <c r="B1" s="2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x14ac:dyDescent="0.4">
      <c r="A3" s="235" t="s">
        <v>48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72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73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f>C64</f>
        <v>0</v>
      </c>
      <c r="D11" s="214">
        <v>1800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f>D64</f>
        <v>0</v>
      </c>
      <c r="D13" s="214">
        <v>13000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15000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4500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4500</v>
      </c>
      <c r="E19" s="214">
        <f>D19*C19</f>
        <v>0</v>
      </c>
      <c r="F19" s="146"/>
      <c r="G19" s="239" t="s">
        <v>216</v>
      </c>
      <c r="H19" s="146"/>
      <c r="I19" s="240" t="s">
        <v>74</v>
      </c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5500</v>
      </c>
      <c r="E21" s="214">
        <f>D21*C21</f>
        <v>0</v>
      </c>
      <c r="F21" s="146"/>
      <c r="G21" s="239"/>
      <c r="H21" s="146"/>
      <c r="I21" s="240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F64</f>
        <v>0</v>
      </c>
      <c r="D25" s="229">
        <v>3000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I17-I21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6" t="s">
        <v>9</v>
      </c>
      <c r="D32" s="7" t="s">
        <v>219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42"/>
      <c r="K33" s="42"/>
      <c r="L33" s="53">
        <f t="shared" ref="L33:L63" si="0">I33*5500+H33*4500+G33*4500-F33*3000+E33*15000+D33*13000+C33*1800</f>
        <v>0</v>
      </c>
    </row>
    <row r="34" spans="1:12" x14ac:dyDescent="0.4">
      <c r="A34" s="215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42"/>
      <c r="K46" s="14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42"/>
      <c r="K47" s="14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42"/>
      <c r="K48" s="14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42"/>
      <c r="K49" s="14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42"/>
      <c r="K50" s="14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42"/>
      <c r="K51" s="14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42"/>
      <c r="K52" s="14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42"/>
      <c r="K53" s="14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42"/>
      <c r="K54" s="14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42"/>
      <c r="K55" s="14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42"/>
      <c r="K56" s="14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74">
        <f t="shared" ref="C64:I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89">
        <f t="shared" ref="J64:L64" si="2">SUM(J33:J63)</f>
        <v>0</v>
      </c>
      <c r="K64" s="89">
        <f t="shared" si="2"/>
        <v>0</v>
      </c>
      <c r="L64" s="98">
        <f t="shared" si="2"/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 t="s">
        <v>75</v>
      </c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D9:D10"/>
    <mergeCell ref="C17:C18"/>
    <mergeCell ref="D25:D26"/>
    <mergeCell ref="A31:L31"/>
    <mergeCell ref="A27:C28"/>
    <mergeCell ref="I23:L24"/>
    <mergeCell ref="E17:F18"/>
    <mergeCell ref="C19:C20"/>
    <mergeCell ref="G17:H18"/>
    <mergeCell ref="D21:D22"/>
    <mergeCell ref="A21:B22"/>
    <mergeCell ref="D69:H70"/>
    <mergeCell ref="J11:L12"/>
    <mergeCell ref="A33:B33"/>
    <mergeCell ref="A42:B42"/>
    <mergeCell ref="A53:B53"/>
    <mergeCell ref="I19:L20"/>
    <mergeCell ref="A35:B35"/>
    <mergeCell ref="A62:B62"/>
    <mergeCell ref="A39:B39"/>
    <mergeCell ref="A48:B48"/>
    <mergeCell ref="G25:L26"/>
    <mergeCell ref="A59:B59"/>
    <mergeCell ref="E15:F16"/>
    <mergeCell ref="A45:B45"/>
    <mergeCell ref="D17:D18"/>
    <mergeCell ref="D11:D12"/>
    <mergeCell ref="A61:B61"/>
    <mergeCell ref="A13:B14"/>
    <mergeCell ref="G27:L30"/>
    <mergeCell ref="I21:L22"/>
    <mergeCell ref="A64:B64"/>
    <mergeCell ref="A51:B51"/>
    <mergeCell ref="A46:B46"/>
    <mergeCell ref="A37:B37"/>
    <mergeCell ref="I67:L68"/>
    <mergeCell ref="E21:F22"/>
    <mergeCell ref="C23:C24"/>
    <mergeCell ref="G21:H22"/>
    <mergeCell ref="A57:B57"/>
    <mergeCell ref="A15:B16"/>
    <mergeCell ref="D27:F30"/>
    <mergeCell ref="A32:B32"/>
    <mergeCell ref="A52:B52"/>
    <mergeCell ref="A63:B63"/>
    <mergeCell ref="E19:F20"/>
    <mergeCell ref="D23:D24"/>
    <mergeCell ref="G19:H20"/>
    <mergeCell ref="A34:B34"/>
    <mergeCell ref="D67:H68"/>
    <mergeCell ref="A56:B56"/>
    <mergeCell ref="D15:D16"/>
    <mergeCell ref="A54:B54"/>
    <mergeCell ref="A41:B41"/>
    <mergeCell ref="A69:C70"/>
    <mergeCell ref="A9:B10"/>
    <mergeCell ref="E25:F26"/>
    <mergeCell ref="A50:B50"/>
    <mergeCell ref="J15:L16"/>
    <mergeCell ref="A47:B47"/>
    <mergeCell ref="A11:B12"/>
    <mergeCell ref="I69:L70"/>
    <mergeCell ref="G23:H24"/>
    <mergeCell ref="A65:L66"/>
    <mergeCell ref="E13:F14"/>
    <mergeCell ref="G15:I16"/>
    <mergeCell ref="A38:B38"/>
    <mergeCell ref="A43:B43"/>
    <mergeCell ref="E23:F24"/>
    <mergeCell ref="A40:B40"/>
    <mergeCell ref="A60:B60"/>
    <mergeCell ref="A23:B26"/>
    <mergeCell ref="A17:B18"/>
    <mergeCell ref="C9:C10"/>
    <mergeCell ref="A67:C68"/>
    <mergeCell ref="C25:C26"/>
    <mergeCell ref="A19:B20"/>
    <mergeCell ref="J13:L14"/>
    <mergeCell ref="A3:L4"/>
    <mergeCell ref="C13:C14"/>
    <mergeCell ref="D19:D20"/>
    <mergeCell ref="A5:L6"/>
    <mergeCell ref="C15:C16"/>
    <mergeCell ref="A44:B44"/>
    <mergeCell ref="A29:C30"/>
    <mergeCell ref="A58:B58"/>
    <mergeCell ref="E9:F10"/>
    <mergeCell ref="A49:B49"/>
    <mergeCell ref="G9:I10"/>
    <mergeCell ref="E11:F12"/>
    <mergeCell ref="A36:B36"/>
    <mergeCell ref="G11:I12"/>
    <mergeCell ref="C21:C22"/>
    <mergeCell ref="A55:B55"/>
    <mergeCell ref="C11:C12"/>
    <mergeCell ref="I17:L18"/>
    <mergeCell ref="J9:L10"/>
    <mergeCell ref="I7:L8"/>
    <mergeCell ref="D13:D14"/>
    <mergeCell ref="E7:H8"/>
    <mergeCell ref="A7:D8"/>
    <mergeCell ref="G13:I14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L70"/>
  <sheetViews>
    <sheetView zoomScale="55" zoomScaleNormal="55" workbookViewId="0">
      <selection activeCell="L37" sqref="L37"/>
    </sheetView>
  </sheetViews>
  <sheetFormatPr defaultRowHeight="13.9" x14ac:dyDescent="0.4"/>
  <cols>
    <col min="1" max="3" width="9.0625" style="3" bestFit="1" customWidth="1"/>
    <col min="4" max="4" width="9.75" style="3" bestFit="1" customWidth="1"/>
    <col min="5" max="12" width="9.0625" style="3" bestFit="1" customWidth="1"/>
    <col min="13" max="16384" width="9" style="3"/>
  </cols>
  <sheetData>
    <row r="1" spans="1:12" x14ac:dyDescent="0.4">
      <c r="A1" s="31">
        <v>1</v>
      </c>
      <c r="B1" s="2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66"/>
      <c r="I2" s="66"/>
      <c r="J2" s="4"/>
      <c r="K2" s="4"/>
      <c r="L2" s="4"/>
    </row>
    <row r="3" spans="1:12" x14ac:dyDescent="0.4">
      <c r="A3" s="235" t="s">
        <v>48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76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3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2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f>C64</f>
        <v>0</v>
      </c>
      <c r="D11" s="214">
        <v>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1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34</v>
      </c>
      <c r="B13" s="146"/>
      <c r="C13" s="214">
        <f>D64</f>
        <v>2</v>
      </c>
      <c r="D13" s="214">
        <v>11000</v>
      </c>
      <c r="E13" s="214">
        <f>D13*C13</f>
        <v>22000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0</v>
      </c>
      <c r="E17" s="214">
        <f>D17*C17</f>
        <v>0</v>
      </c>
      <c r="F17" s="146"/>
      <c r="G17" s="214" t="s">
        <v>14</v>
      </c>
      <c r="H17" s="146"/>
      <c r="I17" s="223">
        <f>D27</f>
        <v>22000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0</v>
      </c>
      <c r="E19" s="214">
        <f>D19*C19</f>
        <v>0</v>
      </c>
      <c r="F19" s="146"/>
      <c r="G19" s="226"/>
      <c r="H19" s="120"/>
      <c r="I19" s="236"/>
      <c r="J19" s="140"/>
      <c r="K19" s="140"/>
      <c r="L19" s="120"/>
    </row>
    <row r="20" spans="1:12" x14ac:dyDescent="0.4">
      <c r="A20" s="147"/>
      <c r="B20" s="148"/>
      <c r="C20" s="149"/>
      <c r="D20" s="149"/>
      <c r="E20" s="147"/>
      <c r="F20" s="148"/>
      <c r="G20" s="141"/>
      <c r="H20" s="144"/>
      <c r="I20" s="141"/>
      <c r="J20" s="142"/>
      <c r="K20" s="142"/>
      <c r="L20" s="144"/>
    </row>
    <row r="21" spans="1:12" x14ac:dyDescent="0.4">
      <c r="A21" s="214" t="s">
        <v>17</v>
      </c>
      <c r="B21" s="146"/>
      <c r="C21" s="214">
        <f>I64</f>
        <v>0</v>
      </c>
      <c r="D21" s="214">
        <v>6500</v>
      </c>
      <c r="E21" s="214">
        <f>D21*C21</f>
        <v>0</v>
      </c>
      <c r="F21" s="146"/>
      <c r="G21" s="214"/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F64</f>
        <v>3</v>
      </c>
      <c r="D25" s="229">
        <v>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22000</v>
      </c>
      <c r="E27" s="151"/>
      <c r="F27" s="151"/>
      <c r="G27" s="225">
        <f>I17+I19</f>
        <v>22000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43" t="s">
        <v>9</v>
      </c>
      <c r="D32" s="31" t="s">
        <v>212</v>
      </c>
      <c r="E32" s="30" t="s">
        <v>12</v>
      </c>
      <c r="F32" s="44" t="s">
        <v>25</v>
      </c>
      <c r="G32" s="45" t="s">
        <v>13</v>
      </c>
      <c r="H32" s="46" t="s">
        <v>15</v>
      </c>
      <c r="I32" s="47" t="s">
        <v>17</v>
      </c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48"/>
      <c r="D33" s="38"/>
      <c r="E33" s="37"/>
      <c r="F33" s="49"/>
      <c r="G33" s="50"/>
      <c r="H33" s="51"/>
      <c r="I33" s="52"/>
      <c r="J33" s="42"/>
      <c r="K33" s="42"/>
      <c r="L33" s="53">
        <f t="shared" ref="L33:L63" si="0">I33*6500+D33*11000</f>
        <v>0</v>
      </c>
    </row>
    <row r="34" spans="1:12" x14ac:dyDescent="0.4">
      <c r="A34" s="215" t="e">
        <f>#REF!</f>
        <v>#REF!</v>
      </c>
      <c r="B34" s="137"/>
      <c r="C34" s="48"/>
      <c r="D34" s="38"/>
      <c r="E34" s="37"/>
      <c r="F34" s="49"/>
      <c r="G34" s="50"/>
      <c r="H34" s="51"/>
      <c r="I34" s="52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48"/>
      <c r="D35" s="38"/>
      <c r="E35" s="37"/>
      <c r="F35" s="49"/>
      <c r="G35" s="50"/>
      <c r="H35" s="51"/>
      <c r="I35" s="52"/>
      <c r="J35" s="42"/>
      <c r="K35" s="14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48"/>
      <c r="D36" s="38"/>
      <c r="E36" s="37"/>
      <c r="F36" s="49"/>
      <c r="G36" s="50"/>
      <c r="H36" s="51"/>
      <c r="I36" s="52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48"/>
      <c r="D37" s="38"/>
      <c r="E37" s="37"/>
      <c r="F37" s="49"/>
      <c r="G37" s="50"/>
      <c r="H37" s="51"/>
      <c r="I37" s="52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48"/>
      <c r="D38" s="38"/>
      <c r="E38" s="37"/>
      <c r="F38" s="49"/>
      <c r="G38" s="50"/>
      <c r="H38" s="51"/>
      <c r="I38" s="52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48"/>
      <c r="D39" s="38"/>
      <c r="E39" s="37"/>
      <c r="F39" s="49"/>
      <c r="G39" s="50"/>
      <c r="H39" s="51"/>
      <c r="I39" s="52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48"/>
      <c r="D40" s="38"/>
      <c r="E40" s="37"/>
      <c r="F40" s="49"/>
      <c r="G40" s="50"/>
      <c r="H40" s="51"/>
      <c r="I40" s="52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48"/>
      <c r="D41" s="38"/>
      <c r="E41" s="37"/>
      <c r="F41" s="49"/>
      <c r="G41" s="50"/>
      <c r="H41" s="51"/>
      <c r="I41" s="52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48"/>
      <c r="D42" s="38"/>
      <c r="E42" s="37"/>
      <c r="F42" s="49"/>
      <c r="G42" s="50"/>
      <c r="H42" s="51"/>
      <c r="I42" s="52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48"/>
      <c r="D43" s="38"/>
      <c r="E43" s="37"/>
      <c r="F43" s="49"/>
      <c r="G43" s="50"/>
      <c r="H43" s="51"/>
      <c r="I43" s="52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48"/>
      <c r="D44" s="38"/>
      <c r="E44" s="37"/>
      <c r="F44" s="49"/>
      <c r="G44" s="50"/>
      <c r="H44" s="51"/>
      <c r="I44" s="52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48"/>
      <c r="D45" s="38"/>
      <c r="E45" s="37"/>
      <c r="F45" s="49"/>
      <c r="G45" s="50"/>
      <c r="H45" s="51"/>
      <c r="I45" s="52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48"/>
      <c r="D46" s="38"/>
      <c r="E46" s="37"/>
      <c r="F46" s="49"/>
      <c r="G46" s="50"/>
      <c r="H46" s="51"/>
      <c r="I46" s="52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48"/>
      <c r="D47" s="38"/>
      <c r="E47" s="37"/>
      <c r="F47" s="49"/>
      <c r="G47" s="50"/>
      <c r="H47" s="51"/>
      <c r="I47" s="52"/>
      <c r="J47" s="42"/>
      <c r="K47" s="42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48"/>
      <c r="D48" s="38"/>
      <c r="E48" s="37"/>
      <c r="F48" s="49"/>
      <c r="G48" s="50"/>
      <c r="H48" s="51"/>
      <c r="I48" s="52"/>
      <c r="J48" s="42"/>
      <c r="K48" s="42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48"/>
      <c r="D49" s="38"/>
      <c r="E49" s="37"/>
      <c r="F49" s="49"/>
      <c r="G49" s="50"/>
      <c r="H49" s="51"/>
      <c r="I49" s="52"/>
      <c r="J49" s="42"/>
      <c r="K49" s="42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48"/>
      <c r="D50" s="38"/>
      <c r="E50" s="37"/>
      <c r="F50" s="49"/>
      <c r="G50" s="50"/>
      <c r="H50" s="51"/>
      <c r="I50" s="52"/>
      <c r="J50" s="42"/>
      <c r="K50" s="42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48"/>
      <c r="D51" s="38"/>
      <c r="E51" s="37"/>
      <c r="F51" s="49"/>
      <c r="G51" s="50"/>
      <c r="H51" s="51"/>
      <c r="I51" s="52"/>
      <c r="J51" s="42"/>
      <c r="K51" s="42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48"/>
      <c r="D52" s="38"/>
      <c r="E52" s="37"/>
      <c r="F52" s="49"/>
      <c r="G52" s="50"/>
      <c r="H52" s="51"/>
      <c r="I52" s="52"/>
      <c r="J52" s="42"/>
      <c r="K52" s="42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48"/>
      <c r="D53" s="38"/>
      <c r="E53" s="37"/>
      <c r="F53" s="49"/>
      <c r="G53" s="50"/>
      <c r="H53" s="51"/>
      <c r="I53" s="52"/>
      <c r="J53" s="42"/>
      <c r="K53" s="42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48"/>
      <c r="D54" s="38"/>
      <c r="E54" s="37"/>
      <c r="F54" s="49"/>
      <c r="G54" s="50"/>
      <c r="H54" s="51"/>
      <c r="I54" s="52"/>
      <c r="J54" s="42"/>
      <c r="K54" s="42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48"/>
      <c r="D55" s="38"/>
      <c r="E55" s="37"/>
      <c r="F55" s="49"/>
      <c r="G55" s="50"/>
      <c r="H55" s="51"/>
      <c r="I55" s="52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48"/>
      <c r="D56" s="38"/>
      <c r="E56" s="37"/>
      <c r="F56" s="49"/>
      <c r="G56" s="50"/>
      <c r="H56" s="51"/>
      <c r="I56" s="52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48"/>
      <c r="D57" s="38"/>
      <c r="E57" s="37"/>
      <c r="F57" s="49"/>
      <c r="G57" s="50"/>
      <c r="H57" s="51"/>
      <c r="I57" s="52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48"/>
      <c r="D58" s="38"/>
      <c r="E58" s="37"/>
      <c r="F58" s="49"/>
      <c r="G58" s="50"/>
      <c r="H58" s="51"/>
      <c r="I58" s="52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48"/>
      <c r="D59" s="38"/>
      <c r="E59" s="37"/>
      <c r="F59" s="49"/>
      <c r="G59" s="50"/>
      <c r="H59" s="51"/>
      <c r="I59" s="52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48"/>
      <c r="D60" s="38"/>
      <c r="E60" s="37"/>
      <c r="F60" s="49"/>
      <c r="G60" s="50"/>
      <c r="H60" s="51"/>
      <c r="I60" s="52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48"/>
      <c r="D61" s="38"/>
      <c r="E61" s="37"/>
      <c r="F61" s="49"/>
      <c r="G61" s="50"/>
      <c r="H61" s="51"/>
      <c r="I61" s="52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48"/>
      <c r="D62" s="38"/>
      <c r="E62" s="37"/>
      <c r="F62" s="49"/>
      <c r="G62" s="50"/>
      <c r="H62" s="51"/>
      <c r="I62" s="52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48"/>
      <c r="D63" s="38"/>
      <c r="E63" s="37"/>
      <c r="F63" s="49"/>
      <c r="G63" s="50"/>
      <c r="H63" s="51"/>
      <c r="I63" s="52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90">
        <f t="shared" ref="C64:L64" si="1">SUM(C33:C63)</f>
        <v>0</v>
      </c>
      <c r="D64" s="85">
        <f t="shared" si="1"/>
        <v>0</v>
      </c>
      <c r="E64" s="84">
        <f t="shared" si="1"/>
        <v>0</v>
      </c>
      <c r="F64" s="91">
        <f t="shared" si="1"/>
        <v>0</v>
      </c>
      <c r="G64" s="92">
        <f t="shared" si="1"/>
        <v>0</v>
      </c>
      <c r="H64" s="93">
        <f t="shared" si="1"/>
        <v>0</v>
      </c>
      <c r="I64" s="94">
        <f t="shared" si="1"/>
        <v>0</v>
      </c>
      <c r="J64" s="89">
        <f t="shared" si="1"/>
        <v>0</v>
      </c>
      <c r="K64" s="89">
        <f t="shared" si="1"/>
        <v>0</v>
      </c>
      <c r="L64" s="98">
        <f t="shared" si="1"/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 t="s">
        <v>77</v>
      </c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E7:H8"/>
    <mergeCell ref="A3:L4"/>
    <mergeCell ref="C13:C14"/>
    <mergeCell ref="D19:D20"/>
    <mergeCell ref="A5:L6"/>
    <mergeCell ref="C15:C16"/>
    <mergeCell ref="A7:D8"/>
    <mergeCell ref="I7:L8"/>
    <mergeCell ref="A41:B41"/>
    <mergeCell ref="D13:D14"/>
    <mergeCell ref="A37:B37"/>
    <mergeCell ref="G13:I14"/>
    <mergeCell ref="D9:D10"/>
    <mergeCell ref="A15:B16"/>
    <mergeCell ref="J13:L14"/>
    <mergeCell ref="G27:L30"/>
    <mergeCell ref="I21:L22"/>
    <mergeCell ref="E11:F12"/>
    <mergeCell ref="A23:B26"/>
    <mergeCell ref="A17:B18"/>
    <mergeCell ref="A29:C30"/>
    <mergeCell ref="G11:I12"/>
    <mergeCell ref="A9:B10"/>
    <mergeCell ref="A11:B12"/>
    <mergeCell ref="D67:H68"/>
    <mergeCell ref="G15:I16"/>
    <mergeCell ref="A38:B38"/>
    <mergeCell ref="A43:B43"/>
    <mergeCell ref="E23:F24"/>
    <mergeCell ref="A40:B40"/>
    <mergeCell ref="A60:B60"/>
    <mergeCell ref="A58:B58"/>
    <mergeCell ref="A32:B32"/>
    <mergeCell ref="E21:F22"/>
    <mergeCell ref="C23:C24"/>
    <mergeCell ref="G21:H22"/>
    <mergeCell ref="A57:B57"/>
    <mergeCell ref="A67:C68"/>
    <mergeCell ref="A64:B64"/>
    <mergeCell ref="A51:B51"/>
    <mergeCell ref="D21:D22"/>
    <mergeCell ref="A21:B22"/>
    <mergeCell ref="A35:B35"/>
    <mergeCell ref="A62:B62"/>
    <mergeCell ref="A39:B39"/>
    <mergeCell ref="A48:B48"/>
    <mergeCell ref="G25:L26"/>
    <mergeCell ref="A59:B59"/>
    <mergeCell ref="E9:F10"/>
    <mergeCell ref="J15:L16"/>
    <mergeCell ref="G9:I10"/>
    <mergeCell ref="I17:L18"/>
    <mergeCell ref="D27:F30"/>
    <mergeCell ref="E25:F26"/>
    <mergeCell ref="A61:B61"/>
    <mergeCell ref="I69:L70"/>
    <mergeCell ref="G23:H24"/>
    <mergeCell ref="A65:L66"/>
    <mergeCell ref="A36:B36"/>
    <mergeCell ref="C21:C22"/>
    <mergeCell ref="A33:B33"/>
    <mergeCell ref="A42:B42"/>
    <mergeCell ref="I19:L20"/>
    <mergeCell ref="A19:B20"/>
    <mergeCell ref="A69:C70"/>
    <mergeCell ref="A55:B55"/>
    <mergeCell ref="I67:L68"/>
    <mergeCell ref="A47:B47"/>
    <mergeCell ref="E19:F20"/>
    <mergeCell ref="D23:D24"/>
    <mergeCell ref="G19:H20"/>
    <mergeCell ref="C25:C26"/>
    <mergeCell ref="A63:B63"/>
    <mergeCell ref="A54:B54"/>
    <mergeCell ref="A46:B46"/>
    <mergeCell ref="D25:D26"/>
    <mergeCell ref="A31:L31"/>
    <mergeCell ref="D69:H70"/>
    <mergeCell ref="J9:L10"/>
    <mergeCell ref="A56:B56"/>
    <mergeCell ref="D15:D16"/>
    <mergeCell ref="A50:B50"/>
    <mergeCell ref="D11:D12"/>
    <mergeCell ref="A13:B14"/>
    <mergeCell ref="C9:C10"/>
    <mergeCell ref="C11:C12"/>
    <mergeCell ref="E13:F14"/>
    <mergeCell ref="J11:L12"/>
    <mergeCell ref="A49:B49"/>
    <mergeCell ref="A27:C28"/>
    <mergeCell ref="I23:L24"/>
    <mergeCell ref="E17:F18"/>
    <mergeCell ref="C19:C20"/>
    <mergeCell ref="G17:H18"/>
    <mergeCell ref="A52:B52"/>
    <mergeCell ref="A34:B34"/>
    <mergeCell ref="A44:B44"/>
    <mergeCell ref="E15:F16"/>
    <mergeCell ref="A45:B45"/>
    <mergeCell ref="D17:D18"/>
    <mergeCell ref="C17:C18"/>
    <mergeCell ref="A53:B53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70"/>
  <sheetViews>
    <sheetView topLeftCell="A5" zoomScale="55" zoomScaleNormal="55" workbookViewId="0">
      <selection activeCell="L38" sqref="L38"/>
    </sheetView>
  </sheetViews>
  <sheetFormatPr defaultRowHeight="13.9" x14ac:dyDescent="0.4"/>
  <cols>
    <col min="1" max="3" width="9.0625" style="3" bestFit="1" customWidth="1"/>
    <col min="4" max="4" width="11.0625" style="3" bestFit="1" customWidth="1"/>
    <col min="5" max="12" width="9.0625" style="3" bestFit="1" customWidth="1"/>
    <col min="13" max="16384" width="9" style="3"/>
  </cols>
  <sheetData>
    <row r="1" spans="1:12" x14ac:dyDescent="0.4">
      <c r="A1" s="2">
        <v>1</v>
      </c>
      <c r="B1" s="2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190" t="s">
        <v>78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79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/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f>C64</f>
        <v>0</v>
      </c>
      <c r="D11" s="214">
        <v>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f>D64</f>
        <v>0</v>
      </c>
      <c r="D13" s="214">
        <v>13000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15000</v>
      </c>
      <c r="E15" s="214"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4500</v>
      </c>
      <c r="E17" s="214">
        <f>D17*C17</f>
        <v>0</v>
      </c>
      <c r="F17" s="146"/>
      <c r="G17" s="214" t="s">
        <v>14</v>
      </c>
      <c r="H17" s="146"/>
      <c r="I17" s="223">
        <f>E11+E13+E15+E17+E19+E21-E25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4500</v>
      </c>
      <c r="E19" s="214">
        <f>D19*C19</f>
        <v>0</v>
      </c>
      <c r="F19" s="146"/>
      <c r="G19" s="214" t="s">
        <v>80</v>
      </c>
      <c r="H19" s="146"/>
      <c r="I19" s="223"/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6000</v>
      </c>
      <c r="E21" s="214">
        <f>D21*C21</f>
        <v>0</v>
      </c>
      <c r="F21" s="146"/>
      <c r="G21" s="214" t="s">
        <v>80</v>
      </c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 t="s">
        <v>80</v>
      </c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F64</f>
        <v>0</v>
      </c>
      <c r="D25" s="229">
        <v>3000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6" t="s">
        <v>9</v>
      </c>
      <c r="D32" s="7" t="s">
        <v>219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42"/>
      <c r="K33" s="42"/>
      <c r="L33" s="53">
        <f t="shared" ref="L33:L63" si="0">I33*6000+H33*4500+G33*4500-F33*3000+E33*16000+D33*14000+C33*0</f>
        <v>0</v>
      </c>
    </row>
    <row r="34" spans="1:12" x14ac:dyDescent="0.4">
      <c r="A34" s="215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42"/>
      <c r="K47" s="42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42"/>
      <c r="K48" s="42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42"/>
      <c r="K49" s="42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42"/>
      <c r="K50" s="42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42"/>
      <c r="K51" s="42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42"/>
      <c r="K52" s="42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42"/>
      <c r="K53" s="42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42"/>
      <c r="K54" s="42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42"/>
      <c r="K58" s="14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42"/>
      <c r="K59" s="14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74">
        <f t="shared" ref="C64:I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89">
        <f t="shared" ref="J64:L64" si="2">SUM(J33:J63)</f>
        <v>0</v>
      </c>
      <c r="K64" s="89">
        <f t="shared" si="2"/>
        <v>0</v>
      </c>
      <c r="L64" s="98">
        <f t="shared" si="2"/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 t="s">
        <v>81</v>
      </c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I7:L8"/>
    <mergeCell ref="A54:B54"/>
    <mergeCell ref="A41:B41"/>
    <mergeCell ref="D13:D14"/>
    <mergeCell ref="I21:L22"/>
    <mergeCell ref="A46:B46"/>
    <mergeCell ref="A37:B37"/>
    <mergeCell ref="G13:I14"/>
    <mergeCell ref="D9:D10"/>
    <mergeCell ref="C17:C18"/>
    <mergeCell ref="D25:D26"/>
    <mergeCell ref="A31:L31"/>
    <mergeCell ref="C19:C20"/>
    <mergeCell ref="G17:H18"/>
    <mergeCell ref="D17:D18"/>
    <mergeCell ref="J13:L14"/>
    <mergeCell ref="C11:C12"/>
    <mergeCell ref="E7:H8"/>
    <mergeCell ref="A7:D8"/>
    <mergeCell ref="A13:B14"/>
    <mergeCell ref="G27:L30"/>
    <mergeCell ref="A36:B36"/>
    <mergeCell ref="C23:C24"/>
    <mergeCell ref="A32:B32"/>
    <mergeCell ref="A50:B50"/>
    <mergeCell ref="E19:F20"/>
    <mergeCell ref="A57:B57"/>
    <mergeCell ref="A15:B16"/>
    <mergeCell ref="C25:C26"/>
    <mergeCell ref="A19:B20"/>
    <mergeCell ref="G21:H22"/>
    <mergeCell ref="A3:L4"/>
    <mergeCell ref="C13:C14"/>
    <mergeCell ref="D19:D20"/>
    <mergeCell ref="A5:L6"/>
    <mergeCell ref="C15:C16"/>
    <mergeCell ref="A9:B10"/>
    <mergeCell ref="I19:L20"/>
    <mergeCell ref="D67:H68"/>
    <mergeCell ref="G23:H24"/>
    <mergeCell ref="A65:L66"/>
    <mergeCell ref="E13:F14"/>
    <mergeCell ref="G15:I16"/>
    <mergeCell ref="A38:B38"/>
    <mergeCell ref="A43:B43"/>
    <mergeCell ref="E23:F24"/>
    <mergeCell ref="A40:B40"/>
    <mergeCell ref="I67:L68"/>
    <mergeCell ref="E21:F22"/>
    <mergeCell ref="A60:B60"/>
    <mergeCell ref="A23:B26"/>
    <mergeCell ref="A17:B18"/>
    <mergeCell ref="A47:B47"/>
    <mergeCell ref="A52:B52"/>
    <mergeCell ref="E15:F16"/>
    <mergeCell ref="J15:L16"/>
    <mergeCell ref="A11:B12"/>
    <mergeCell ref="E9:F10"/>
    <mergeCell ref="G9:I10"/>
    <mergeCell ref="E11:F12"/>
    <mergeCell ref="G11:I12"/>
    <mergeCell ref="C21:C22"/>
    <mergeCell ref="A55:B55"/>
    <mergeCell ref="A51:B51"/>
    <mergeCell ref="D21:D22"/>
    <mergeCell ref="A21:B22"/>
    <mergeCell ref="A27:C28"/>
    <mergeCell ref="I23:L24"/>
    <mergeCell ref="E17:F18"/>
    <mergeCell ref="J9:L10"/>
    <mergeCell ref="D15:D16"/>
    <mergeCell ref="J11:L12"/>
    <mergeCell ref="C9:C10"/>
    <mergeCell ref="D23:D24"/>
    <mergeCell ref="G19:H20"/>
    <mergeCell ref="A34:B34"/>
    <mergeCell ref="I17:L18"/>
    <mergeCell ref="D11:D12"/>
    <mergeCell ref="A67:C68"/>
    <mergeCell ref="A69:C70"/>
    <mergeCell ref="E25:F26"/>
    <mergeCell ref="I69:L70"/>
    <mergeCell ref="A61:B61"/>
    <mergeCell ref="A49:B49"/>
    <mergeCell ref="D69:H70"/>
    <mergeCell ref="A33:B33"/>
    <mergeCell ref="A42:B42"/>
    <mergeCell ref="A53:B53"/>
    <mergeCell ref="A35:B35"/>
    <mergeCell ref="A62:B62"/>
    <mergeCell ref="A39:B39"/>
    <mergeCell ref="A48:B48"/>
    <mergeCell ref="G25:L26"/>
    <mergeCell ref="A59:B59"/>
    <mergeCell ref="A45:B45"/>
    <mergeCell ref="A44:B44"/>
    <mergeCell ref="A29:C30"/>
    <mergeCell ref="A58:B58"/>
    <mergeCell ref="D27:F30"/>
    <mergeCell ref="A56:B56"/>
    <mergeCell ref="A63:B63"/>
    <mergeCell ref="A64:B64"/>
  </mergeCells>
  <phoneticPr fontId="1" type="noConversion"/>
  <pageMargins left="0.7" right="0.7" top="0.75" bottom="0.75" header="0.3" footer="0.3"/>
  <pageSetup paperSize="9" scale="72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L70"/>
  <sheetViews>
    <sheetView zoomScale="55" zoomScaleNormal="55" workbookViewId="0">
      <selection activeCell="L38" sqref="L38"/>
    </sheetView>
  </sheetViews>
  <sheetFormatPr defaultRowHeight="13.9" x14ac:dyDescent="0.4"/>
  <cols>
    <col min="1" max="3" width="9.0625" style="3" bestFit="1" customWidth="1"/>
    <col min="4" max="4" width="10.25" style="3" bestFit="1" customWidth="1"/>
    <col min="5" max="12" width="9.0625" style="3" bestFit="1" customWidth="1"/>
    <col min="13" max="16384" width="9" style="3"/>
  </cols>
  <sheetData>
    <row r="1" spans="1:12" x14ac:dyDescent="0.4">
      <c r="A1" s="31">
        <v>1</v>
      </c>
      <c r="B1" s="31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235" t="s">
        <v>82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83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84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f>C64</f>
        <v>0</v>
      </c>
      <c r="D11" s="214">
        <v>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f>D64</f>
        <v>0</v>
      </c>
      <c r="D13" s="214">
        <v>13000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15000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0</v>
      </c>
      <c r="E19" s="214">
        <f>D19*C19</f>
        <v>0</v>
      </c>
      <c r="F19" s="146"/>
      <c r="G19" s="214" t="s">
        <v>16</v>
      </c>
      <c r="H19" s="146"/>
      <c r="I19" s="223">
        <v>0</v>
      </c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6500</v>
      </c>
      <c r="E21" s="214">
        <f>D21*C21</f>
        <v>0</v>
      </c>
      <c r="F21" s="146"/>
      <c r="G21" s="214" t="s">
        <v>18</v>
      </c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F64</f>
        <v>0</v>
      </c>
      <c r="D25" s="229">
        <v>3000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I17+I19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6" t="s">
        <v>9</v>
      </c>
      <c r="D32" s="7" t="s">
        <v>219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42"/>
      <c r="K33" s="42"/>
      <c r="L33" s="53">
        <f t="shared" ref="L33:L63" si="0">I33*6500-F33*3000+D33*13000+E33*15000</f>
        <v>0</v>
      </c>
    </row>
    <row r="34" spans="1:12" x14ac:dyDescent="0.4">
      <c r="A34" s="215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42"/>
      <c r="K47" s="42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42"/>
      <c r="K48" s="42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42"/>
      <c r="K49" s="42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42"/>
      <c r="K50" s="42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42"/>
      <c r="K51" s="42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42"/>
      <c r="K52" s="42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42"/>
      <c r="K53" s="42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42"/>
      <c r="K54" s="42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74">
        <f t="shared" ref="C64:I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89">
        <f t="shared" ref="J64:L64" si="2">SUM(J33:J63)</f>
        <v>0</v>
      </c>
      <c r="K64" s="89">
        <f t="shared" si="2"/>
        <v>0</v>
      </c>
      <c r="L64" s="98">
        <f t="shared" si="2"/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 t="s">
        <v>85</v>
      </c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I7:L8"/>
    <mergeCell ref="A54:B54"/>
    <mergeCell ref="A41:B41"/>
    <mergeCell ref="D13:D14"/>
    <mergeCell ref="A46:B46"/>
    <mergeCell ref="A37:B37"/>
    <mergeCell ref="G13:I14"/>
    <mergeCell ref="D9:D10"/>
    <mergeCell ref="C17:C18"/>
    <mergeCell ref="D25:D26"/>
    <mergeCell ref="A31:L31"/>
    <mergeCell ref="A27:C28"/>
    <mergeCell ref="I23:L24"/>
    <mergeCell ref="E17:F18"/>
    <mergeCell ref="C19:C20"/>
    <mergeCell ref="G17:H18"/>
    <mergeCell ref="A52:B52"/>
    <mergeCell ref="A7:D8"/>
    <mergeCell ref="C21:C22"/>
    <mergeCell ref="J9:L10"/>
    <mergeCell ref="D15:D16"/>
    <mergeCell ref="J11:L12"/>
    <mergeCell ref="A33:B33"/>
    <mergeCell ref="A42:B42"/>
    <mergeCell ref="I19:L20"/>
    <mergeCell ref="A35:B35"/>
    <mergeCell ref="A61:B61"/>
    <mergeCell ref="A13:B14"/>
    <mergeCell ref="G27:L30"/>
    <mergeCell ref="I21:L22"/>
    <mergeCell ref="C25:C26"/>
    <mergeCell ref="A19:B20"/>
    <mergeCell ref="J13:L14"/>
    <mergeCell ref="G23:H24"/>
    <mergeCell ref="A21:B22"/>
    <mergeCell ref="D69:H70"/>
    <mergeCell ref="A53:B53"/>
    <mergeCell ref="A62:B62"/>
    <mergeCell ref="A39:B39"/>
    <mergeCell ref="A48:B48"/>
    <mergeCell ref="G25:L26"/>
    <mergeCell ref="A59:B59"/>
    <mergeCell ref="A45:B45"/>
    <mergeCell ref="A32:B32"/>
    <mergeCell ref="A50:B50"/>
    <mergeCell ref="A47:B47"/>
    <mergeCell ref="A34:B34"/>
    <mergeCell ref="A49:B49"/>
    <mergeCell ref="A36:B36"/>
    <mergeCell ref="A64:B64"/>
    <mergeCell ref="A63:B63"/>
    <mergeCell ref="I69:L70"/>
    <mergeCell ref="A67:C68"/>
    <mergeCell ref="A69:C70"/>
    <mergeCell ref="A9:B10"/>
    <mergeCell ref="E25:F26"/>
    <mergeCell ref="A55:B55"/>
    <mergeCell ref="I67:L68"/>
    <mergeCell ref="E21:F22"/>
    <mergeCell ref="C23:C24"/>
    <mergeCell ref="G21:H22"/>
    <mergeCell ref="A57:B57"/>
    <mergeCell ref="A65:L66"/>
    <mergeCell ref="E13:F14"/>
    <mergeCell ref="G15:I16"/>
    <mergeCell ref="A38:B38"/>
    <mergeCell ref="A43:B43"/>
    <mergeCell ref="E23:F24"/>
    <mergeCell ref="A40:B40"/>
    <mergeCell ref="A60:B60"/>
    <mergeCell ref="A23:B26"/>
    <mergeCell ref="A17:B18"/>
    <mergeCell ref="C11:C12"/>
    <mergeCell ref="I17:L18"/>
    <mergeCell ref="A51:B51"/>
    <mergeCell ref="D21:D22"/>
    <mergeCell ref="D67:H68"/>
    <mergeCell ref="A56:B56"/>
    <mergeCell ref="E7:H8"/>
    <mergeCell ref="A3:L4"/>
    <mergeCell ref="C13:C14"/>
    <mergeCell ref="D19:D20"/>
    <mergeCell ref="A5:L6"/>
    <mergeCell ref="C15:C16"/>
    <mergeCell ref="A44:B44"/>
    <mergeCell ref="A29:C30"/>
    <mergeCell ref="A58:B58"/>
    <mergeCell ref="A15:B16"/>
    <mergeCell ref="D27:F30"/>
    <mergeCell ref="E15:F16"/>
    <mergeCell ref="D17:D18"/>
    <mergeCell ref="D11:D12"/>
    <mergeCell ref="J15:L16"/>
    <mergeCell ref="A11:B12"/>
    <mergeCell ref="E19:F20"/>
    <mergeCell ref="D23:D24"/>
    <mergeCell ref="G19:H20"/>
    <mergeCell ref="E9:F10"/>
    <mergeCell ref="G9:I10"/>
    <mergeCell ref="E11:F12"/>
    <mergeCell ref="G11:I12"/>
    <mergeCell ref="C9:C10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L70"/>
  <sheetViews>
    <sheetView zoomScale="55" zoomScaleNormal="55" workbookViewId="0">
      <selection activeCell="C32" sqref="C32:I64"/>
    </sheetView>
  </sheetViews>
  <sheetFormatPr defaultRowHeight="13.9" x14ac:dyDescent="0.4"/>
  <cols>
    <col min="1" max="3" width="9.0625" style="3" bestFit="1" customWidth="1"/>
    <col min="4" max="4" width="10.25" style="3" bestFit="1" customWidth="1"/>
    <col min="5" max="12" width="9.0625" style="3" bestFit="1" customWidth="1"/>
    <col min="13" max="16384" width="9" style="3"/>
  </cols>
  <sheetData>
    <row r="1" spans="1:12" x14ac:dyDescent="0.4">
      <c r="A1" s="62">
        <v>46053</v>
      </c>
      <c r="B1" s="62" t="s">
        <v>86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1:12" x14ac:dyDescent="0.4">
      <c r="A2" s="64">
        <v>122000</v>
      </c>
      <c r="B2" s="65">
        <v>114000</v>
      </c>
      <c r="C2" s="66"/>
      <c r="D2" s="66"/>
      <c r="E2" s="66"/>
      <c r="F2" s="66"/>
      <c r="G2" s="66"/>
      <c r="H2" s="66"/>
      <c r="I2" s="66"/>
      <c r="J2" s="66"/>
      <c r="K2" s="66"/>
      <c r="L2" s="66"/>
    </row>
    <row r="3" spans="1:12" x14ac:dyDescent="0.4">
      <c r="A3" s="241" t="s">
        <v>87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217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88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f>C64</f>
        <v>0</v>
      </c>
      <c r="D11" s="214">
        <v>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f>D64</f>
        <v>0</v>
      </c>
      <c r="D13" s="214">
        <v>13000</v>
      </c>
      <c r="E13" s="214">
        <f>D13*C13</f>
        <v>0</v>
      </c>
      <c r="F13" s="146"/>
      <c r="G13" s="214"/>
      <c r="H13" s="151"/>
      <c r="I13" s="151"/>
      <c r="J13" s="151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54"/>
      <c r="J14" s="154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15000</v>
      </c>
      <c r="E15" s="214">
        <f>D15*C15</f>
        <v>0</v>
      </c>
      <c r="F15" s="146"/>
      <c r="G15" s="214">
        <f>22000+96000</f>
        <v>118000</v>
      </c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0</v>
      </c>
      <c r="E19" s="214">
        <f>D19*C19</f>
        <v>0</v>
      </c>
      <c r="F19" s="146"/>
      <c r="G19" s="214" t="s">
        <v>16</v>
      </c>
      <c r="H19" s="146"/>
      <c r="I19" s="223">
        <v>0</v>
      </c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6500</v>
      </c>
      <c r="E21" s="214">
        <f>D21*C21</f>
        <v>0</v>
      </c>
      <c r="F21" s="146"/>
      <c r="G21" s="214" t="s">
        <v>18</v>
      </c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F64</f>
        <v>0</v>
      </c>
      <c r="D25" s="229">
        <v>3000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I17+I21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6" t="s">
        <v>9</v>
      </c>
      <c r="D32" s="7" t="s">
        <v>219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4"/>
      <c r="K32" s="4" t="s">
        <v>26</v>
      </c>
      <c r="L32" s="2" t="s">
        <v>26</v>
      </c>
    </row>
    <row r="33" spans="1:12" x14ac:dyDescent="0.4">
      <c r="A33" s="215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42"/>
      <c r="K33" s="42">
        <f t="shared" ref="K33:K63" si="0">E33*15000-F33*3000+D33*13000</f>
        <v>0</v>
      </c>
      <c r="L33" s="53">
        <f>K33</f>
        <v>0</v>
      </c>
    </row>
    <row r="34" spans="1:12" x14ac:dyDescent="0.4">
      <c r="A34" s="215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42"/>
      <c r="K34" s="42">
        <f t="shared" si="0"/>
        <v>0</v>
      </c>
      <c r="L34" s="53">
        <f t="shared" ref="L34:L63" si="1">L33+K34</f>
        <v>0</v>
      </c>
    </row>
    <row r="35" spans="1:12" x14ac:dyDescent="0.4">
      <c r="A35" s="215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42"/>
      <c r="K35" s="42">
        <f t="shared" si="0"/>
        <v>0</v>
      </c>
      <c r="L35" s="53">
        <f t="shared" si="1"/>
        <v>0</v>
      </c>
    </row>
    <row r="36" spans="1:12" x14ac:dyDescent="0.4">
      <c r="A36" s="215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42"/>
      <c r="K36" s="42">
        <f t="shared" si="0"/>
        <v>0</v>
      </c>
      <c r="L36" s="53">
        <f t="shared" si="1"/>
        <v>0</v>
      </c>
    </row>
    <row r="37" spans="1:12" x14ac:dyDescent="0.4">
      <c r="A37" s="215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42"/>
      <c r="K37" s="42">
        <f t="shared" si="0"/>
        <v>0</v>
      </c>
      <c r="L37" s="53">
        <f t="shared" si="1"/>
        <v>0</v>
      </c>
    </row>
    <row r="38" spans="1:12" x14ac:dyDescent="0.4">
      <c r="A38" s="215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42"/>
      <c r="K38" s="42">
        <f t="shared" si="0"/>
        <v>0</v>
      </c>
      <c r="L38" s="53">
        <f t="shared" si="1"/>
        <v>0</v>
      </c>
    </row>
    <row r="39" spans="1:12" x14ac:dyDescent="0.4">
      <c r="A39" s="215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42"/>
      <c r="K39" s="42">
        <f t="shared" si="0"/>
        <v>0</v>
      </c>
      <c r="L39" s="53">
        <f t="shared" si="1"/>
        <v>0</v>
      </c>
    </row>
    <row r="40" spans="1:12" x14ac:dyDescent="0.4">
      <c r="A40" s="215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42"/>
      <c r="K40" s="42">
        <f t="shared" si="0"/>
        <v>0</v>
      </c>
      <c r="L40" s="53">
        <f t="shared" si="1"/>
        <v>0</v>
      </c>
    </row>
    <row r="41" spans="1:12" x14ac:dyDescent="0.4">
      <c r="A41" s="215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42"/>
      <c r="K41" s="42">
        <f t="shared" si="0"/>
        <v>0</v>
      </c>
      <c r="L41" s="53">
        <f t="shared" si="1"/>
        <v>0</v>
      </c>
    </row>
    <row r="42" spans="1:12" x14ac:dyDescent="0.4">
      <c r="A42" s="215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42"/>
      <c r="K42" s="42">
        <f t="shared" si="0"/>
        <v>0</v>
      </c>
      <c r="L42" s="53">
        <f t="shared" si="1"/>
        <v>0</v>
      </c>
    </row>
    <row r="43" spans="1:12" x14ac:dyDescent="0.4">
      <c r="A43" s="215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42"/>
      <c r="K43" s="42">
        <f t="shared" si="0"/>
        <v>0</v>
      </c>
      <c r="L43" s="53">
        <f t="shared" si="1"/>
        <v>0</v>
      </c>
    </row>
    <row r="44" spans="1:12" x14ac:dyDescent="0.4">
      <c r="A44" s="215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42"/>
      <c r="K44" s="42">
        <f t="shared" si="0"/>
        <v>0</v>
      </c>
      <c r="L44" s="53">
        <f t="shared" si="1"/>
        <v>0</v>
      </c>
    </row>
    <row r="45" spans="1:12" x14ac:dyDescent="0.4">
      <c r="A45" s="215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42"/>
      <c r="K45" s="42">
        <f t="shared" si="0"/>
        <v>0</v>
      </c>
      <c r="L45" s="53">
        <f t="shared" si="1"/>
        <v>0</v>
      </c>
    </row>
    <row r="46" spans="1:12" x14ac:dyDescent="0.4">
      <c r="A46" s="215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42"/>
      <c r="K46" s="42">
        <f t="shared" si="0"/>
        <v>0</v>
      </c>
      <c r="L46" s="53">
        <f t="shared" si="1"/>
        <v>0</v>
      </c>
    </row>
    <row r="47" spans="1:12" x14ac:dyDescent="0.4">
      <c r="A47" s="215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42"/>
      <c r="K47" s="42">
        <f t="shared" si="0"/>
        <v>0</v>
      </c>
      <c r="L47" s="53">
        <f t="shared" si="1"/>
        <v>0</v>
      </c>
    </row>
    <row r="48" spans="1:12" x14ac:dyDescent="0.4">
      <c r="A48" s="215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42"/>
      <c r="K48" s="42">
        <f t="shared" si="0"/>
        <v>0</v>
      </c>
      <c r="L48" s="53">
        <f t="shared" si="1"/>
        <v>0</v>
      </c>
    </row>
    <row r="49" spans="1:12" x14ac:dyDescent="0.4">
      <c r="A49" s="215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42"/>
      <c r="K49" s="42">
        <f t="shared" si="0"/>
        <v>0</v>
      </c>
      <c r="L49" s="53">
        <f t="shared" si="1"/>
        <v>0</v>
      </c>
    </row>
    <row r="50" spans="1:12" x14ac:dyDescent="0.4">
      <c r="A50" s="215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42"/>
      <c r="K50" s="42">
        <f t="shared" si="0"/>
        <v>0</v>
      </c>
      <c r="L50" s="53">
        <f t="shared" si="1"/>
        <v>0</v>
      </c>
    </row>
    <row r="51" spans="1:12" x14ac:dyDescent="0.4">
      <c r="A51" s="215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42"/>
      <c r="K51" s="42">
        <f t="shared" si="0"/>
        <v>0</v>
      </c>
      <c r="L51" s="53">
        <f t="shared" si="1"/>
        <v>0</v>
      </c>
    </row>
    <row r="52" spans="1:12" x14ac:dyDescent="0.4">
      <c r="A52" s="215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42"/>
      <c r="K52" s="42">
        <f t="shared" si="0"/>
        <v>0</v>
      </c>
      <c r="L52" s="53">
        <f t="shared" si="1"/>
        <v>0</v>
      </c>
    </row>
    <row r="53" spans="1:12" x14ac:dyDescent="0.4">
      <c r="A53" s="215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42"/>
      <c r="K53" s="42">
        <f t="shared" si="0"/>
        <v>0</v>
      </c>
      <c r="L53" s="53">
        <f t="shared" si="1"/>
        <v>0</v>
      </c>
    </row>
    <row r="54" spans="1:12" x14ac:dyDescent="0.4">
      <c r="A54" s="215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42"/>
      <c r="K54" s="42">
        <f t="shared" si="0"/>
        <v>0</v>
      </c>
      <c r="L54" s="53">
        <f t="shared" si="1"/>
        <v>0</v>
      </c>
    </row>
    <row r="55" spans="1:12" x14ac:dyDescent="0.4">
      <c r="A55" s="215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42"/>
      <c r="K55" s="42">
        <f t="shared" si="0"/>
        <v>0</v>
      </c>
      <c r="L55" s="53">
        <f t="shared" si="1"/>
        <v>0</v>
      </c>
    </row>
    <row r="56" spans="1:12" x14ac:dyDescent="0.4">
      <c r="A56" s="215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42"/>
      <c r="K56" s="42">
        <f t="shared" si="0"/>
        <v>0</v>
      </c>
      <c r="L56" s="53">
        <f t="shared" si="1"/>
        <v>0</v>
      </c>
    </row>
    <row r="57" spans="1:12" x14ac:dyDescent="0.4">
      <c r="A57" s="215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42"/>
      <c r="K57" s="42">
        <f t="shared" si="0"/>
        <v>0</v>
      </c>
      <c r="L57" s="53">
        <f t="shared" si="1"/>
        <v>0</v>
      </c>
    </row>
    <row r="58" spans="1:12" x14ac:dyDescent="0.4">
      <c r="A58" s="215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42"/>
      <c r="K58" s="42">
        <f t="shared" si="0"/>
        <v>0</v>
      </c>
      <c r="L58" s="53">
        <f t="shared" si="1"/>
        <v>0</v>
      </c>
    </row>
    <row r="59" spans="1:12" x14ac:dyDescent="0.4">
      <c r="A59" s="215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42"/>
      <c r="K59" s="42">
        <f t="shared" si="0"/>
        <v>0</v>
      </c>
      <c r="L59" s="53">
        <f t="shared" si="1"/>
        <v>0</v>
      </c>
    </row>
    <row r="60" spans="1:12" x14ac:dyDescent="0.4">
      <c r="A60" s="215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42"/>
      <c r="K60" s="42">
        <f t="shared" si="0"/>
        <v>0</v>
      </c>
      <c r="L60" s="53">
        <f t="shared" si="1"/>
        <v>0</v>
      </c>
    </row>
    <row r="61" spans="1:12" x14ac:dyDescent="0.4">
      <c r="A61" s="215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42"/>
      <c r="K61" s="42">
        <f t="shared" si="0"/>
        <v>0</v>
      </c>
      <c r="L61" s="53">
        <f t="shared" si="1"/>
        <v>0</v>
      </c>
    </row>
    <row r="62" spans="1:12" x14ac:dyDescent="0.4">
      <c r="A62" s="215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42"/>
      <c r="K62" s="42">
        <f t="shared" si="0"/>
        <v>0</v>
      </c>
      <c r="L62" s="53">
        <f t="shared" si="1"/>
        <v>0</v>
      </c>
    </row>
    <row r="63" spans="1:12" x14ac:dyDescent="0.4">
      <c r="A63" s="215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42"/>
      <c r="K63" s="42">
        <f t="shared" si="0"/>
        <v>0</v>
      </c>
      <c r="L63" s="53">
        <f t="shared" si="1"/>
        <v>0</v>
      </c>
    </row>
    <row r="64" spans="1:12" x14ac:dyDescent="0.4">
      <c r="A64" s="234" t="s">
        <v>26</v>
      </c>
      <c r="B64" s="115"/>
      <c r="C64" s="74">
        <f t="shared" ref="C64:I64" si="2">SUM(C33:C63)</f>
        <v>0</v>
      </c>
      <c r="D64" s="75">
        <f t="shared" si="2"/>
        <v>0</v>
      </c>
      <c r="E64" s="76">
        <f t="shared" si="2"/>
        <v>0</v>
      </c>
      <c r="F64" s="77">
        <f t="shared" si="2"/>
        <v>0</v>
      </c>
      <c r="G64" s="78">
        <f t="shared" si="2"/>
        <v>0</v>
      </c>
      <c r="H64" s="79">
        <f t="shared" si="2"/>
        <v>0</v>
      </c>
      <c r="I64" s="80">
        <f t="shared" si="2"/>
        <v>0</v>
      </c>
      <c r="J64" s="89">
        <f t="shared" ref="J64:K64" si="3">SUM(J33:J63)</f>
        <v>0</v>
      </c>
      <c r="K64" s="89">
        <f t="shared" si="3"/>
        <v>0</v>
      </c>
      <c r="L64" s="98"/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 t="s">
        <v>89</v>
      </c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1">
    <mergeCell ref="I7:L8"/>
    <mergeCell ref="C9:C10"/>
    <mergeCell ref="A9:B10"/>
    <mergeCell ref="E7:H8"/>
    <mergeCell ref="A54:B54"/>
    <mergeCell ref="A41:B41"/>
    <mergeCell ref="D13:D14"/>
    <mergeCell ref="I21:L22"/>
    <mergeCell ref="A46:B46"/>
    <mergeCell ref="A37:B37"/>
    <mergeCell ref="D9:D10"/>
    <mergeCell ref="C17:C18"/>
    <mergeCell ref="D25:D26"/>
    <mergeCell ref="A31:L31"/>
    <mergeCell ref="A27:C28"/>
    <mergeCell ref="I23:L24"/>
    <mergeCell ref="E17:F18"/>
    <mergeCell ref="C19:C20"/>
    <mergeCell ref="G17:H18"/>
    <mergeCell ref="A52:B52"/>
    <mergeCell ref="E9:F10"/>
    <mergeCell ref="G9:I10"/>
    <mergeCell ref="C21:C22"/>
    <mergeCell ref="J9:L10"/>
    <mergeCell ref="A64:B64"/>
    <mergeCell ref="A51:B51"/>
    <mergeCell ref="D21:D22"/>
    <mergeCell ref="A21:B22"/>
    <mergeCell ref="A63:B63"/>
    <mergeCell ref="A32:B32"/>
    <mergeCell ref="A7:D8"/>
    <mergeCell ref="A34:B34"/>
    <mergeCell ref="A36:B36"/>
    <mergeCell ref="A42:B42"/>
    <mergeCell ref="A35:B35"/>
    <mergeCell ref="A39:B39"/>
    <mergeCell ref="C25:C26"/>
    <mergeCell ref="A19:B20"/>
    <mergeCell ref="A62:B62"/>
    <mergeCell ref="A48:B48"/>
    <mergeCell ref="A61:B61"/>
    <mergeCell ref="G25:L26"/>
    <mergeCell ref="G13:L14"/>
    <mergeCell ref="D15:D16"/>
    <mergeCell ref="A33:B33"/>
    <mergeCell ref="I17:L18"/>
    <mergeCell ref="A59:B59"/>
    <mergeCell ref="E15:F16"/>
    <mergeCell ref="A45:B45"/>
    <mergeCell ref="D17:D18"/>
    <mergeCell ref="A13:B14"/>
    <mergeCell ref="G27:L30"/>
    <mergeCell ref="I19:L20"/>
    <mergeCell ref="I69:L70"/>
    <mergeCell ref="G23:H24"/>
    <mergeCell ref="A65:L66"/>
    <mergeCell ref="E13:F14"/>
    <mergeCell ref="G15:I16"/>
    <mergeCell ref="A38:B38"/>
    <mergeCell ref="A43:B43"/>
    <mergeCell ref="E23:F24"/>
    <mergeCell ref="A40:B40"/>
    <mergeCell ref="A60:B60"/>
    <mergeCell ref="A23:B26"/>
    <mergeCell ref="A17:B18"/>
    <mergeCell ref="A67:C68"/>
    <mergeCell ref="A69:C70"/>
    <mergeCell ref="E25:F26"/>
    <mergeCell ref="A50:B50"/>
    <mergeCell ref="A55:B55"/>
    <mergeCell ref="I67:L68"/>
    <mergeCell ref="E21:F22"/>
    <mergeCell ref="C23:C24"/>
    <mergeCell ref="G21:H22"/>
    <mergeCell ref="D67:H68"/>
    <mergeCell ref="A56:B56"/>
    <mergeCell ref="D69:H70"/>
    <mergeCell ref="A3:L4"/>
    <mergeCell ref="C13:C14"/>
    <mergeCell ref="D19:D20"/>
    <mergeCell ref="A5:L6"/>
    <mergeCell ref="C15:C16"/>
    <mergeCell ref="A44:B44"/>
    <mergeCell ref="A29:C30"/>
    <mergeCell ref="A58:B58"/>
    <mergeCell ref="A57:B57"/>
    <mergeCell ref="A15:B16"/>
    <mergeCell ref="D27:F30"/>
    <mergeCell ref="A49:B49"/>
    <mergeCell ref="J11:L12"/>
    <mergeCell ref="C11:C12"/>
    <mergeCell ref="D11:D12"/>
    <mergeCell ref="A11:B12"/>
    <mergeCell ref="E11:F12"/>
    <mergeCell ref="G11:I12"/>
    <mergeCell ref="J15:L16"/>
    <mergeCell ref="A47:B47"/>
    <mergeCell ref="E19:F20"/>
    <mergeCell ref="D23:D24"/>
    <mergeCell ref="G19:H20"/>
    <mergeCell ref="A53:B53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L70"/>
  <sheetViews>
    <sheetView topLeftCell="A4" zoomScale="55" zoomScaleNormal="55" workbookViewId="0">
      <selection activeCell="C32" sqref="C32:I64"/>
    </sheetView>
  </sheetViews>
  <sheetFormatPr defaultRowHeight="13.9" x14ac:dyDescent="0.4"/>
  <cols>
    <col min="1" max="3" width="9.0625" style="3" bestFit="1" customWidth="1"/>
    <col min="4" max="4" width="10.25" style="3" bestFit="1" customWidth="1"/>
    <col min="5" max="12" width="9.0625" style="3" bestFit="1" customWidth="1"/>
    <col min="13" max="16384" width="9" style="3"/>
  </cols>
  <sheetData>
    <row r="1" spans="1:12" x14ac:dyDescent="0.4">
      <c r="A1" s="31">
        <v>1</v>
      </c>
      <c r="B1" s="2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190" t="s">
        <v>90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91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38" t="s">
        <v>92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f>C64</f>
        <v>0</v>
      </c>
      <c r="D11" s="214">
        <v>1900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f>D64</f>
        <v>0</v>
      </c>
      <c r="D13" s="214">
        <v>13000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15000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4500</v>
      </c>
      <c r="E19" s="214">
        <f>D19*C19</f>
        <v>0</v>
      </c>
      <c r="F19" s="146"/>
      <c r="G19" s="226"/>
      <c r="H19" s="120"/>
      <c r="I19" s="236"/>
      <c r="J19" s="140"/>
      <c r="K19" s="140"/>
      <c r="L19" s="120"/>
    </row>
    <row r="20" spans="1:12" x14ac:dyDescent="0.4">
      <c r="A20" s="147"/>
      <c r="B20" s="148"/>
      <c r="C20" s="149"/>
      <c r="D20" s="149"/>
      <c r="E20" s="147"/>
      <c r="F20" s="148"/>
      <c r="G20" s="141"/>
      <c r="H20" s="144"/>
      <c r="I20" s="141"/>
      <c r="J20" s="142"/>
      <c r="K20" s="142"/>
      <c r="L20" s="144"/>
    </row>
    <row r="21" spans="1:12" x14ac:dyDescent="0.4">
      <c r="A21" s="214" t="s">
        <v>17</v>
      </c>
      <c r="B21" s="146"/>
      <c r="C21" s="214">
        <f>I64</f>
        <v>0</v>
      </c>
      <c r="D21" s="214">
        <v>6500</v>
      </c>
      <c r="E21" s="214">
        <f>D21*C21</f>
        <v>0</v>
      </c>
      <c r="F21" s="146"/>
      <c r="G21" s="214"/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F64</f>
        <v>0</v>
      </c>
      <c r="D25" s="229">
        <v>3000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I17+I19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6" t="s">
        <v>9</v>
      </c>
      <c r="D32" s="7" t="s">
        <v>219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42"/>
      <c r="K33" s="42"/>
      <c r="L33" s="53">
        <f t="shared" ref="L33:L63" si="0">I33*6500-F33*3000+E33*15000+D33*13000+C33*1900+H33*4500</f>
        <v>0</v>
      </c>
    </row>
    <row r="34" spans="1:12" x14ac:dyDescent="0.4">
      <c r="A34" s="215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42"/>
      <c r="K47" s="42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42"/>
      <c r="K48" s="42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42"/>
      <c r="K49" s="42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42"/>
      <c r="K50" s="42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42"/>
      <c r="K51" s="42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42"/>
      <c r="K52" s="42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42"/>
      <c r="K53" s="42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42"/>
      <c r="K54" s="42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74">
        <f t="shared" ref="C64:I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89">
        <f t="shared" ref="J64:L64" si="2">SUM(J33:J63)</f>
        <v>0</v>
      </c>
      <c r="K64" s="89">
        <f t="shared" si="2"/>
        <v>0</v>
      </c>
      <c r="L64" s="98">
        <f t="shared" si="2"/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 t="s">
        <v>93</v>
      </c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I7:L8"/>
    <mergeCell ref="A54:B54"/>
    <mergeCell ref="A41:B41"/>
    <mergeCell ref="D13:D14"/>
    <mergeCell ref="A46:B46"/>
    <mergeCell ref="A37:B37"/>
    <mergeCell ref="G13:I14"/>
    <mergeCell ref="D9:D10"/>
    <mergeCell ref="C17:C18"/>
    <mergeCell ref="D25:D26"/>
    <mergeCell ref="A31:L31"/>
    <mergeCell ref="A27:C28"/>
    <mergeCell ref="I23:L24"/>
    <mergeCell ref="E17:F18"/>
    <mergeCell ref="C19:C20"/>
    <mergeCell ref="G17:H18"/>
    <mergeCell ref="A52:B52"/>
    <mergeCell ref="A7:D8"/>
    <mergeCell ref="C21:C22"/>
    <mergeCell ref="J9:L10"/>
    <mergeCell ref="D15:D16"/>
    <mergeCell ref="J11:L12"/>
    <mergeCell ref="A33:B33"/>
    <mergeCell ref="A42:B42"/>
    <mergeCell ref="I19:L20"/>
    <mergeCell ref="A35:B35"/>
    <mergeCell ref="A61:B61"/>
    <mergeCell ref="A13:B14"/>
    <mergeCell ref="G27:L30"/>
    <mergeCell ref="I21:L22"/>
    <mergeCell ref="C25:C26"/>
    <mergeCell ref="A19:B20"/>
    <mergeCell ref="J13:L14"/>
    <mergeCell ref="G23:H24"/>
    <mergeCell ref="A21:B22"/>
    <mergeCell ref="D69:H70"/>
    <mergeCell ref="A53:B53"/>
    <mergeCell ref="A62:B62"/>
    <mergeCell ref="A39:B39"/>
    <mergeCell ref="A48:B48"/>
    <mergeCell ref="G25:L26"/>
    <mergeCell ref="A59:B59"/>
    <mergeCell ref="A45:B45"/>
    <mergeCell ref="A32:B32"/>
    <mergeCell ref="A50:B50"/>
    <mergeCell ref="A47:B47"/>
    <mergeCell ref="A34:B34"/>
    <mergeCell ref="A49:B49"/>
    <mergeCell ref="A36:B36"/>
    <mergeCell ref="A64:B64"/>
    <mergeCell ref="A63:B63"/>
    <mergeCell ref="I69:L70"/>
    <mergeCell ref="A67:C68"/>
    <mergeCell ref="A69:C70"/>
    <mergeCell ref="A9:B10"/>
    <mergeCell ref="E25:F26"/>
    <mergeCell ref="A55:B55"/>
    <mergeCell ref="I67:L68"/>
    <mergeCell ref="E21:F22"/>
    <mergeCell ref="C23:C24"/>
    <mergeCell ref="G21:H22"/>
    <mergeCell ref="A57:B57"/>
    <mergeCell ref="A65:L66"/>
    <mergeCell ref="E13:F14"/>
    <mergeCell ref="G15:I16"/>
    <mergeCell ref="A38:B38"/>
    <mergeCell ref="A43:B43"/>
    <mergeCell ref="E23:F24"/>
    <mergeCell ref="A40:B40"/>
    <mergeCell ref="A60:B60"/>
    <mergeCell ref="A23:B26"/>
    <mergeCell ref="A17:B18"/>
    <mergeCell ref="C11:C12"/>
    <mergeCell ref="I17:L18"/>
    <mergeCell ref="A51:B51"/>
    <mergeCell ref="D21:D22"/>
    <mergeCell ref="D67:H68"/>
    <mergeCell ref="A56:B56"/>
    <mergeCell ref="E7:H8"/>
    <mergeCell ref="A3:L4"/>
    <mergeCell ref="C13:C14"/>
    <mergeCell ref="D19:D20"/>
    <mergeCell ref="A5:L6"/>
    <mergeCell ref="C15:C16"/>
    <mergeCell ref="A44:B44"/>
    <mergeCell ref="A29:C30"/>
    <mergeCell ref="A58:B58"/>
    <mergeCell ref="A15:B16"/>
    <mergeCell ref="D27:F30"/>
    <mergeCell ref="E15:F16"/>
    <mergeCell ref="D17:D18"/>
    <mergeCell ref="D11:D12"/>
    <mergeCell ref="J15:L16"/>
    <mergeCell ref="A11:B12"/>
    <mergeCell ref="E19:F20"/>
    <mergeCell ref="D23:D24"/>
    <mergeCell ref="G19:H20"/>
    <mergeCell ref="E9:F10"/>
    <mergeCell ref="G9:I10"/>
    <mergeCell ref="E11:F12"/>
    <mergeCell ref="G11:I12"/>
    <mergeCell ref="C9:C10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L70"/>
  <sheetViews>
    <sheetView zoomScale="55" zoomScaleNormal="55" workbookViewId="0">
      <selection activeCell="C32" sqref="C32:I64"/>
    </sheetView>
  </sheetViews>
  <sheetFormatPr defaultRowHeight="13.9" x14ac:dyDescent="0.4"/>
  <cols>
    <col min="1" max="3" width="9.0625" style="3" bestFit="1" customWidth="1"/>
    <col min="4" max="4" width="10.3125" style="3" bestFit="1" customWidth="1"/>
    <col min="5" max="12" width="9.0625" style="3" bestFit="1" customWidth="1"/>
    <col min="13" max="16384" width="9" style="3"/>
  </cols>
  <sheetData>
    <row r="1" spans="1:12" x14ac:dyDescent="0.4">
      <c r="A1" s="31">
        <v>1</v>
      </c>
      <c r="B1" s="31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61"/>
      <c r="D2" s="4"/>
      <c r="E2" s="4"/>
      <c r="F2" s="4"/>
      <c r="G2" s="57"/>
      <c r="H2" s="4"/>
      <c r="I2" s="4"/>
      <c r="J2" s="4"/>
      <c r="K2" s="4"/>
      <c r="L2" s="4"/>
    </row>
    <row r="3" spans="1:12" x14ac:dyDescent="0.4">
      <c r="A3" s="235" t="s">
        <v>48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94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73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f>C64</f>
        <v>0</v>
      </c>
      <c r="D11" s="214">
        <v>1900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f>D64</f>
        <v>0</v>
      </c>
      <c r="D13" s="214">
        <v>10000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12000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4500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5000</v>
      </c>
      <c r="E19" s="214">
        <f>D19*C19</f>
        <v>0</v>
      </c>
      <c r="F19" s="146"/>
      <c r="G19" s="214" t="s">
        <v>16</v>
      </c>
      <c r="H19" s="146"/>
      <c r="I19" s="223"/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6500</v>
      </c>
      <c r="E21" s="214">
        <f>D21*C21</f>
        <v>0</v>
      </c>
      <c r="F21" s="146"/>
      <c r="G21" s="214" t="s">
        <v>18</v>
      </c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F64</f>
        <v>0</v>
      </c>
      <c r="D25" s="229">
        <v>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6" t="s">
        <v>9</v>
      </c>
      <c r="D32" s="7" t="s">
        <v>219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42"/>
      <c r="K33" s="42"/>
      <c r="L33" s="53">
        <f t="shared" ref="L33:L63" si="0">I33*6500+H33*5000+G33*4500+E33*12000+D33*10000+C33*1900</f>
        <v>0</v>
      </c>
    </row>
    <row r="34" spans="1:12" x14ac:dyDescent="0.4">
      <c r="A34" s="215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42"/>
      <c r="K47" s="42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42"/>
      <c r="K48" s="42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42"/>
      <c r="K49" s="42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42"/>
      <c r="K50" s="42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42"/>
      <c r="K51" s="42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42"/>
      <c r="K52" s="42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42"/>
      <c r="K53" s="42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42"/>
      <c r="K54" s="42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74">
        <f t="shared" ref="C64:I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89">
        <f t="shared" ref="J64:L64" si="2">SUM(J33:J63)</f>
        <v>0</v>
      </c>
      <c r="K64" s="89">
        <f t="shared" si="2"/>
        <v>0</v>
      </c>
      <c r="L64" s="98">
        <f t="shared" si="2"/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 t="s">
        <v>95</v>
      </c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I7:L8"/>
    <mergeCell ref="A54:B54"/>
    <mergeCell ref="A41:B41"/>
    <mergeCell ref="D13:D14"/>
    <mergeCell ref="A46:B46"/>
    <mergeCell ref="A37:B37"/>
    <mergeCell ref="G13:I14"/>
    <mergeCell ref="D9:D10"/>
    <mergeCell ref="C17:C18"/>
    <mergeCell ref="D25:D26"/>
    <mergeCell ref="A31:L31"/>
    <mergeCell ref="A27:C28"/>
    <mergeCell ref="I23:L24"/>
    <mergeCell ref="E17:F18"/>
    <mergeCell ref="C19:C20"/>
    <mergeCell ref="G17:H18"/>
    <mergeCell ref="A52:B52"/>
    <mergeCell ref="A7:D8"/>
    <mergeCell ref="C21:C22"/>
    <mergeCell ref="J9:L10"/>
    <mergeCell ref="D15:D16"/>
    <mergeCell ref="J11:L12"/>
    <mergeCell ref="A33:B33"/>
    <mergeCell ref="A42:B42"/>
    <mergeCell ref="I19:L20"/>
    <mergeCell ref="A35:B35"/>
    <mergeCell ref="A61:B61"/>
    <mergeCell ref="A13:B14"/>
    <mergeCell ref="G27:L30"/>
    <mergeCell ref="I21:L22"/>
    <mergeCell ref="C25:C26"/>
    <mergeCell ref="A19:B20"/>
    <mergeCell ref="J13:L14"/>
    <mergeCell ref="G23:H24"/>
    <mergeCell ref="A21:B22"/>
    <mergeCell ref="D69:H70"/>
    <mergeCell ref="A53:B53"/>
    <mergeCell ref="A62:B62"/>
    <mergeCell ref="A39:B39"/>
    <mergeCell ref="A48:B48"/>
    <mergeCell ref="G25:L26"/>
    <mergeCell ref="A59:B59"/>
    <mergeCell ref="A45:B45"/>
    <mergeCell ref="A32:B32"/>
    <mergeCell ref="A50:B50"/>
    <mergeCell ref="A47:B47"/>
    <mergeCell ref="A34:B34"/>
    <mergeCell ref="A49:B49"/>
    <mergeCell ref="A36:B36"/>
    <mergeCell ref="A64:B64"/>
    <mergeCell ref="A63:B63"/>
    <mergeCell ref="I69:L70"/>
    <mergeCell ref="A67:C68"/>
    <mergeCell ref="A69:C70"/>
    <mergeCell ref="A9:B10"/>
    <mergeCell ref="E25:F26"/>
    <mergeCell ref="A55:B55"/>
    <mergeCell ref="I67:L68"/>
    <mergeCell ref="E21:F22"/>
    <mergeCell ref="C23:C24"/>
    <mergeCell ref="G21:H22"/>
    <mergeCell ref="A57:B57"/>
    <mergeCell ref="A65:L66"/>
    <mergeCell ref="E13:F14"/>
    <mergeCell ref="G15:I16"/>
    <mergeCell ref="A38:B38"/>
    <mergeCell ref="A43:B43"/>
    <mergeCell ref="E23:F24"/>
    <mergeCell ref="A40:B40"/>
    <mergeCell ref="A60:B60"/>
    <mergeCell ref="A23:B26"/>
    <mergeCell ref="A17:B18"/>
    <mergeCell ref="C11:C12"/>
    <mergeCell ref="I17:L18"/>
    <mergeCell ref="A51:B51"/>
    <mergeCell ref="D21:D22"/>
    <mergeCell ref="D67:H68"/>
    <mergeCell ref="A56:B56"/>
    <mergeCell ref="E7:H8"/>
    <mergeCell ref="A3:L4"/>
    <mergeCell ref="C13:C14"/>
    <mergeCell ref="D19:D20"/>
    <mergeCell ref="A5:L6"/>
    <mergeCell ref="C15:C16"/>
    <mergeCell ref="A44:B44"/>
    <mergeCell ref="A29:C30"/>
    <mergeCell ref="A58:B58"/>
    <mergeCell ref="A15:B16"/>
    <mergeCell ref="D27:F30"/>
    <mergeCell ref="E15:F16"/>
    <mergeCell ref="D17:D18"/>
    <mergeCell ref="D11:D12"/>
    <mergeCell ref="J15:L16"/>
    <mergeCell ref="A11:B12"/>
    <mergeCell ref="E19:F20"/>
    <mergeCell ref="D23:D24"/>
    <mergeCell ref="G19:H20"/>
    <mergeCell ref="E9:F10"/>
    <mergeCell ref="G9:I10"/>
    <mergeCell ref="E11:F12"/>
    <mergeCell ref="G11:I12"/>
    <mergeCell ref="C9:C10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L70"/>
  <sheetViews>
    <sheetView topLeftCell="A4" zoomScale="55" zoomScaleNormal="55" workbookViewId="0">
      <selection activeCell="C32" sqref="C32"/>
    </sheetView>
  </sheetViews>
  <sheetFormatPr defaultRowHeight="13.9" x14ac:dyDescent="0.4"/>
  <cols>
    <col min="1" max="3" width="9.0625" style="3" bestFit="1" customWidth="1"/>
    <col min="4" max="4" width="10.25" style="3" bestFit="1" customWidth="1"/>
    <col min="5" max="12" width="9.0625" style="3" bestFit="1" customWidth="1"/>
    <col min="13" max="16384" width="9" style="3"/>
  </cols>
  <sheetData>
    <row r="1" spans="1:12" x14ac:dyDescent="0.4">
      <c r="A1" s="31">
        <v>1</v>
      </c>
      <c r="B1" s="31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235" t="s">
        <v>48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96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73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f>D64</f>
        <v>0</v>
      </c>
      <c r="D11" s="214">
        <v>1900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f>C64</f>
        <v>0</v>
      </c>
      <c r="D13" s="214">
        <v>12000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15000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4500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5000</v>
      </c>
      <c r="E19" s="214">
        <f>D19*C19</f>
        <v>0</v>
      </c>
      <c r="F19" s="146"/>
      <c r="G19" s="214" t="s">
        <v>16</v>
      </c>
      <c r="H19" s="146"/>
      <c r="I19" s="223">
        <v>0</v>
      </c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6500</v>
      </c>
      <c r="E21" s="214">
        <f>D21*C21</f>
        <v>0</v>
      </c>
      <c r="F21" s="146"/>
      <c r="G21" s="214" t="s">
        <v>18</v>
      </c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F64</f>
        <v>0</v>
      </c>
      <c r="D25" s="229">
        <v>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I17+I19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59" t="s">
        <v>11</v>
      </c>
      <c r="D32" s="2"/>
      <c r="E32" s="2"/>
      <c r="F32" s="2"/>
      <c r="G32" s="2"/>
      <c r="H32" s="2"/>
      <c r="I32" s="2"/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60"/>
      <c r="D33" s="53"/>
      <c r="E33" s="53"/>
      <c r="F33" s="53"/>
      <c r="G33" s="53"/>
      <c r="H33" s="53"/>
      <c r="I33" s="53"/>
      <c r="J33" s="42"/>
      <c r="K33" s="42"/>
      <c r="L33" s="53">
        <f t="shared" ref="L33:L63" si="0">C33*12000</f>
        <v>0</v>
      </c>
    </row>
    <row r="34" spans="1:12" x14ac:dyDescent="0.4">
      <c r="A34" s="215" t="e">
        <f>#REF!</f>
        <v>#REF!</v>
      </c>
      <c r="B34" s="137"/>
      <c r="C34" s="60"/>
      <c r="D34" s="53"/>
      <c r="E34" s="53"/>
      <c r="F34" s="53"/>
      <c r="G34" s="53"/>
      <c r="H34" s="53"/>
      <c r="I34" s="53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60"/>
      <c r="D35" s="53"/>
      <c r="E35" s="53"/>
      <c r="F35" s="53"/>
      <c r="G35" s="53"/>
      <c r="H35" s="53"/>
      <c r="I35" s="53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60"/>
      <c r="D36" s="53"/>
      <c r="E36" s="53"/>
      <c r="F36" s="53"/>
      <c r="G36" s="53"/>
      <c r="H36" s="53"/>
      <c r="I36" s="53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60"/>
      <c r="D37" s="53"/>
      <c r="E37" s="53"/>
      <c r="F37" s="53"/>
      <c r="G37" s="53"/>
      <c r="H37" s="53"/>
      <c r="I37" s="53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60"/>
      <c r="D38" s="53"/>
      <c r="E38" s="53"/>
      <c r="F38" s="53"/>
      <c r="G38" s="53"/>
      <c r="H38" s="53"/>
      <c r="I38" s="53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60"/>
      <c r="D39" s="53"/>
      <c r="E39" s="53"/>
      <c r="F39" s="53"/>
      <c r="G39" s="53"/>
      <c r="H39" s="53"/>
      <c r="I39" s="53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60"/>
      <c r="D40" s="53"/>
      <c r="E40" s="53"/>
      <c r="F40" s="53"/>
      <c r="G40" s="53"/>
      <c r="H40" s="53"/>
      <c r="I40" s="53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60"/>
      <c r="D41" s="53"/>
      <c r="E41" s="53"/>
      <c r="F41" s="53"/>
      <c r="G41" s="53"/>
      <c r="H41" s="53"/>
      <c r="I41" s="53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60"/>
      <c r="D42" s="53"/>
      <c r="E42" s="53"/>
      <c r="F42" s="53"/>
      <c r="G42" s="53"/>
      <c r="H42" s="53"/>
      <c r="I42" s="53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60"/>
      <c r="D43" s="53"/>
      <c r="E43" s="53"/>
      <c r="F43" s="53"/>
      <c r="G43" s="53"/>
      <c r="H43" s="53"/>
      <c r="I43" s="53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60"/>
      <c r="D44" s="53"/>
      <c r="E44" s="53"/>
      <c r="F44" s="53"/>
      <c r="G44" s="53"/>
      <c r="H44" s="53"/>
      <c r="I44" s="53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60"/>
      <c r="D45" s="53"/>
      <c r="E45" s="53"/>
      <c r="F45" s="53"/>
      <c r="G45" s="53"/>
      <c r="H45" s="53"/>
      <c r="I45" s="53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60"/>
      <c r="D46" s="53"/>
      <c r="E46" s="53"/>
      <c r="F46" s="53"/>
      <c r="G46" s="53"/>
      <c r="H46" s="53"/>
      <c r="I46" s="53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60"/>
      <c r="D47" s="53"/>
      <c r="E47" s="53"/>
      <c r="F47" s="53"/>
      <c r="G47" s="53"/>
      <c r="H47" s="53"/>
      <c r="I47" s="53"/>
      <c r="J47" s="42"/>
      <c r="K47" s="42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60"/>
      <c r="D48" s="53"/>
      <c r="E48" s="53"/>
      <c r="F48" s="53"/>
      <c r="G48" s="53"/>
      <c r="H48" s="53"/>
      <c r="I48" s="53"/>
      <c r="J48" s="42"/>
      <c r="K48" s="42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60"/>
      <c r="D49" s="53"/>
      <c r="E49" s="53"/>
      <c r="F49" s="53"/>
      <c r="G49" s="53"/>
      <c r="H49" s="53"/>
      <c r="I49" s="53"/>
      <c r="J49" s="42"/>
      <c r="K49" s="42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60"/>
      <c r="D50" s="53"/>
      <c r="E50" s="53"/>
      <c r="F50" s="53"/>
      <c r="G50" s="53"/>
      <c r="H50" s="53"/>
      <c r="I50" s="53"/>
      <c r="J50" s="42"/>
      <c r="K50" s="42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60"/>
      <c r="D51" s="53"/>
      <c r="E51" s="53"/>
      <c r="F51" s="53"/>
      <c r="G51" s="53"/>
      <c r="H51" s="53"/>
      <c r="I51" s="53"/>
      <c r="J51" s="42"/>
      <c r="K51" s="42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60"/>
      <c r="D52" s="53"/>
      <c r="E52" s="53"/>
      <c r="F52" s="53"/>
      <c r="G52" s="53"/>
      <c r="H52" s="53"/>
      <c r="I52" s="53"/>
      <c r="J52" s="42"/>
      <c r="K52" s="42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60"/>
      <c r="D53" s="53"/>
      <c r="E53" s="53"/>
      <c r="F53" s="53"/>
      <c r="G53" s="53"/>
      <c r="H53" s="53"/>
      <c r="I53" s="53"/>
      <c r="J53" s="42"/>
      <c r="K53" s="42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60"/>
      <c r="D54" s="53"/>
      <c r="E54" s="53"/>
      <c r="F54" s="53"/>
      <c r="G54" s="53"/>
      <c r="H54" s="53"/>
      <c r="I54" s="53"/>
      <c r="J54" s="42"/>
      <c r="K54" s="42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60"/>
      <c r="D55" s="53"/>
      <c r="E55" s="53"/>
      <c r="F55" s="53"/>
      <c r="G55" s="53"/>
      <c r="H55" s="53"/>
      <c r="I55" s="53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60"/>
      <c r="D56" s="53"/>
      <c r="E56" s="53"/>
      <c r="F56" s="53"/>
      <c r="G56" s="53"/>
      <c r="H56" s="53"/>
      <c r="I56" s="53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60"/>
      <c r="D57" s="53"/>
      <c r="E57" s="53"/>
      <c r="F57" s="53"/>
      <c r="G57" s="53"/>
      <c r="H57" s="53"/>
      <c r="I57" s="53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60"/>
      <c r="D58" s="53"/>
      <c r="E58" s="53"/>
      <c r="F58" s="53"/>
      <c r="G58" s="53"/>
      <c r="H58" s="53"/>
      <c r="I58" s="53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60"/>
      <c r="D59" s="53"/>
      <c r="E59" s="53"/>
      <c r="F59" s="53"/>
      <c r="G59" s="53"/>
      <c r="H59" s="53"/>
      <c r="I59" s="53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60"/>
      <c r="D60" s="53"/>
      <c r="E60" s="53"/>
      <c r="F60" s="53"/>
      <c r="G60" s="53"/>
      <c r="H60" s="53"/>
      <c r="I60" s="53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60"/>
      <c r="D61" s="53"/>
      <c r="E61" s="53"/>
      <c r="F61" s="53"/>
      <c r="G61" s="53"/>
      <c r="H61" s="53"/>
      <c r="I61" s="53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60"/>
      <c r="D62" s="53"/>
      <c r="E62" s="53"/>
      <c r="F62" s="53"/>
      <c r="G62" s="53"/>
      <c r="H62" s="53"/>
      <c r="I62" s="53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60"/>
      <c r="D63" s="53"/>
      <c r="E63" s="53"/>
      <c r="F63" s="53"/>
      <c r="G63" s="53"/>
      <c r="H63" s="53"/>
      <c r="I63" s="53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96">
        <f t="shared" ref="C64:L64" si="1">SUM(C33:C63)</f>
        <v>0</v>
      </c>
      <c r="D64" s="89">
        <f t="shared" si="1"/>
        <v>0</v>
      </c>
      <c r="E64" s="89">
        <f t="shared" si="1"/>
        <v>0</v>
      </c>
      <c r="F64" s="89">
        <f t="shared" si="1"/>
        <v>0</v>
      </c>
      <c r="G64" s="89">
        <f t="shared" si="1"/>
        <v>0</v>
      </c>
      <c r="H64" s="89">
        <f t="shared" si="1"/>
        <v>0</v>
      </c>
      <c r="I64" s="89">
        <f t="shared" si="1"/>
        <v>0</v>
      </c>
      <c r="J64" s="89">
        <f t="shared" si="1"/>
        <v>0</v>
      </c>
      <c r="K64" s="89">
        <f t="shared" si="1"/>
        <v>0</v>
      </c>
      <c r="L64" s="98">
        <f t="shared" si="1"/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 t="s">
        <v>97</v>
      </c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I7:L8"/>
    <mergeCell ref="A54:B54"/>
    <mergeCell ref="A41:B41"/>
    <mergeCell ref="D13:D14"/>
    <mergeCell ref="A46:B46"/>
    <mergeCell ref="A37:B37"/>
    <mergeCell ref="G13:I14"/>
    <mergeCell ref="D9:D10"/>
    <mergeCell ref="C17:C18"/>
    <mergeCell ref="D25:D26"/>
    <mergeCell ref="A31:L31"/>
    <mergeCell ref="A27:C28"/>
    <mergeCell ref="I23:L24"/>
    <mergeCell ref="E17:F18"/>
    <mergeCell ref="C19:C20"/>
    <mergeCell ref="G17:H18"/>
    <mergeCell ref="A52:B52"/>
    <mergeCell ref="A7:D8"/>
    <mergeCell ref="C21:C22"/>
    <mergeCell ref="J9:L10"/>
    <mergeCell ref="D15:D16"/>
    <mergeCell ref="J11:L12"/>
    <mergeCell ref="A33:B33"/>
    <mergeCell ref="A42:B42"/>
    <mergeCell ref="I19:L20"/>
    <mergeCell ref="A35:B35"/>
    <mergeCell ref="A61:B61"/>
    <mergeCell ref="A13:B14"/>
    <mergeCell ref="G27:L30"/>
    <mergeCell ref="I21:L22"/>
    <mergeCell ref="C25:C26"/>
    <mergeCell ref="A19:B20"/>
    <mergeCell ref="J13:L14"/>
    <mergeCell ref="G23:H24"/>
    <mergeCell ref="A21:B22"/>
    <mergeCell ref="D69:H70"/>
    <mergeCell ref="A53:B53"/>
    <mergeCell ref="A62:B62"/>
    <mergeCell ref="A39:B39"/>
    <mergeCell ref="A48:B48"/>
    <mergeCell ref="G25:L26"/>
    <mergeCell ref="A59:B59"/>
    <mergeCell ref="A45:B45"/>
    <mergeCell ref="A32:B32"/>
    <mergeCell ref="A50:B50"/>
    <mergeCell ref="A47:B47"/>
    <mergeCell ref="A34:B34"/>
    <mergeCell ref="A49:B49"/>
    <mergeCell ref="A36:B36"/>
    <mergeCell ref="A64:B64"/>
    <mergeCell ref="A63:B63"/>
    <mergeCell ref="I69:L70"/>
    <mergeCell ref="A67:C68"/>
    <mergeCell ref="A69:C70"/>
    <mergeCell ref="A9:B10"/>
    <mergeCell ref="E25:F26"/>
    <mergeCell ref="A55:B55"/>
    <mergeCell ref="I67:L68"/>
    <mergeCell ref="E21:F22"/>
    <mergeCell ref="C23:C24"/>
    <mergeCell ref="G21:H22"/>
    <mergeCell ref="A57:B57"/>
    <mergeCell ref="A65:L66"/>
    <mergeCell ref="E13:F14"/>
    <mergeCell ref="G15:I16"/>
    <mergeCell ref="A38:B38"/>
    <mergeCell ref="A43:B43"/>
    <mergeCell ref="E23:F24"/>
    <mergeCell ref="A40:B40"/>
    <mergeCell ref="A60:B60"/>
    <mergeCell ref="A23:B26"/>
    <mergeCell ref="A17:B18"/>
    <mergeCell ref="C11:C12"/>
    <mergeCell ref="I17:L18"/>
    <mergeCell ref="A51:B51"/>
    <mergeCell ref="D21:D22"/>
    <mergeCell ref="D67:H68"/>
    <mergeCell ref="A56:B56"/>
    <mergeCell ref="E7:H8"/>
    <mergeCell ref="A3:L4"/>
    <mergeCell ref="C13:C14"/>
    <mergeCell ref="D19:D20"/>
    <mergeCell ref="A5:L6"/>
    <mergeCell ref="C15:C16"/>
    <mergeCell ref="A44:B44"/>
    <mergeCell ref="A29:C30"/>
    <mergeCell ref="A58:B58"/>
    <mergeCell ref="A15:B16"/>
    <mergeCell ref="D27:F30"/>
    <mergeCell ref="E15:F16"/>
    <mergeCell ref="D17:D18"/>
    <mergeCell ref="D11:D12"/>
    <mergeCell ref="J15:L16"/>
    <mergeCell ref="A11:B12"/>
    <mergeCell ref="E19:F20"/>
    <mergeCell ref="D23:D24"/>
    <mergeCell ref="G19:H20"/>
    <mergeCell ref="E9:F10"/>
    <mergeCell ref="G9:I10"/>
    <mergeCell ref="E11:F12"/>
    <mergeCell ref="G11:I12"/>
    <mergeCell ref="C9:C10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L70"/>
  <sheetViews>
    <sheetView zoomScale="55" zoomScaleNormal="55" workbookViewId="0">
      <selection activeCell="Q34" sqref="Q34"/>
    </sheetView>
  </sheetViews>
  <sheetFormatPr defaultRowHeight="13.9" x14ac:dyDescent="0.4"/>
  <cols>
    <col min="1" max="2" width="9.0625" style="3" bestFit="1" customWidth="1"/>
    <col min="3" max="3" width="9.0625" style="3" customWidth="1"/>
    <col min="4" max="4" width="10.25" style="3" customWidth="1"/>
    <col min="5" max="11" width="9.0625" style="3" bestFit="1" customWidth="1"/>
    <col min="12" max="12" width="9.25" style="3" bestFit="1" customWidth="1"/>
    <col min="13" max="16384" width="9" style="3"/>
  </cols>
  <sheetData>
    <row r="1" spans="1:12" x14ac:dyDescent="0.4">
      <c r="A1" s="31">
        <v>1</v>
      </c>
      <c r="B1" s="31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235" t="s">
        <v>48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98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3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C13+C15+C17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v>0</v>
      </c>
      <c r="D11" s="214">
        <v>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f>C64</f>
        <v>0</v>
      </c>
      <c r="D13" s="214">
        <v>11000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99</v>
      </c>
      <c r="B15" s="146"/>
      <c r="C15" s="214">
        <f>D64</f>
        <v>0</v>
      </c>
      <c r="D15" s="214">
        <v>11000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12</v>
      </c>
      <c r="B17" s="146"/>
      <c r="C17" s="214">
        <f>E64</f>
        <v>0</v>
      </c>
      <c r="D17" s="214">
        <v>13000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5000</v>
      </c>
      <c r="E19" s="214">
        <f>D19*C19</f>
        <v>0</v>
      </c>
      <c r="F19" s="146"/>
      <c r="G19" s="214" t="s">
        <v>16</v>
      </c>
      <c r="H19" s="146"/>
      <c r="I19" s="223"/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6500</v>
      </c>
      <c r="E21" s="214">
        <f>D21*C21</f>
        <v>0</v>
      </c>
      <c r="F21" s="146"/>
      <c r="G21" s="214" t="s">
        <v>18</v>
      </c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F64</f>
        <v>0</v>
      </c>
      <c r="D25" s="229">
        <v>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I17+I19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6" t="s">
        <v>9</v>
      </c>
      <c r="D32" s="7" t="s">
        <v>219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42"/>
      <c r="K33" s="42"/>
      <c r="L33" s="53">
        <f t="shared" ref="L33:L63" si="0">I33*6500+H33*5000+E33*13000+D33*11000+C33*11000</f>
        <v>0</v>
      </c>
    </row>
    <row r="34" spans="1:12" x14ac:dyDescent="0.4">
      <c r="A34" s="215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42"/>
      <c r="K47" s="42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42"/>
      <c r="K48" s="42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42"/>
      <c r="K49" s="42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42"/>
      <c r="K50" s="42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42"/>
      <c r="K51" s="42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42"/>
      <c r="K52" s="42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42"/>
      <c r="K53" s="42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42"/>
      <c r="K54" s="42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74">
        <f t="shared" ref="C64:I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89">
        <f t="shared" ref="J64:L64" si="2">SUM(J33:J63)</f>
        <v>0</v>
      </c>
      <c r="K64" s="89">
        <f t="shared" si="2"/>
        <v>0</v>
      </c>
      <c r="L64" s="98">
        <f t="shared" si="2"/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 t="s">
        <v>100</v>
      </c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I7:L8"/>
    <mergeCell ref="A54:B54"/>
    <mergeCell ref="A41:B41"/>
    <mergeCell ref="D13:D14"/>
    <mergeCell ref="A46:B46"/>
    <mergeCell ref="A37:B37"/>
    <mergeCell ref="G13:I14"/>
    <mergeCell ref="D9:D10"/>
    <mergeCell ref="C17:C18"/>
    <mergeCell ref="D25:D26"/>
    <mergeCell ref="A31:L31"/>
    <mergeCell ref="A27:C28"/>
    <mergeCell ref="I23:L24"/>
    <mergeCell ref="E17:F18"/>
    <mergeCell ref="C19:C20"/>
    <mergeCell ref="G17:H18"/>
    <mergeCell ref="A52:B52"/>
    <mergeCell ref="A7:D8"/>
    <mergeCell ref="C21:C22"/>
    <mergeCell ref="J9:L10"/>
    <mergeCell ref="D15:D16"/>
    <mergeCell ref="J11:L12"/>
    <mergeCell ref="A33:B33"/>
    <mergeCell ref="A42:B42"/>
    <mergeCell ref="I19:L20"/>
    <mergeCell ref="A35:B35"/>
    <mergeCell ref="A61:B61"/>
    <mergeCell ref="A13:B14"/>
    <mergeCell ref="G27:L30"/>
    <mergeCell ref="I21:L22"/>
    <mergeCell ref="C25:C26"/>
    <mergeCell ref="A19:B20"/>
    <mergeCell ref="J13:L14"/>
    <mergeCell ref="G23:H24"/>
    <mergeCell ref="A21:B22"/>
    <mergeCell ref="D69:H70"/>
    <mergeCell ref="A53:B53"/>
    <mergeCell ref="A62:B62"/>
    <mergeCell ref="A39:B39"/>
    <mergeCell ref="A48:B48"/>
    <mergeCell ref="G25:L26"/>
    <mergeCell ref="A59:B59"/>
    <mergeCell ref="A45:B45"/>
    <mergeCell ref="A32:B32"/>
    <mergeCell ref="A50:B50"/>
    <mergeCell ref="A47:B47"/>
    <mergeCell ref="A34:B34"/>
    <mergeCell ref="A49:B49"/>
    <mergeCell ref="A36:B36"/>
    <mergeCell ref="A64:B64"/>
    <mergeCell ref="A63:B63"/>
    <mergeCell ref="I69:L70"/>
    <mergeCell ref="A67:C68"/>
    <mergeCell ref="A69:C70"/>
    <mergeCell ref="A9:B10"/>
    <mergeCell ref="E25:F26"/>
    <mergeCell ref="A55:B55"/>
    <mergeCell ref="I67:L68"/>
    <mergeCell ref="E21:F22"/>
    <mergeCell ref="C23:C24"/>
    <mergeCell ref="G21:H22"/>
    <mergeCell ref="A57:B57"/>
    <mergeCell ref="A65:L66"/>
    <mergeCell ref="E13:F14"/>
    <mergeCell ref="G15:I16"/>
    <mergeCell ref="A38:B38"/>
    <mergeCell ref="A43:B43"/>
    <mergeCell ref="E23:F24"/>
    <mergeCell ref="A40:B40"/>
    <mergeCell ref="A60:B60"/>
    <mergeCell ref="A23:B26"/>
    <mergeCell ref="A17:B18"/>
    <mergeCell ref="C11:C12"/>
    <mergeCell ref="I17:L18"/>
    <mergeCell ref="A51:B51"/>
    <mergeCell ref="D21:D22"/>
    <mergeCell ref="D67:H68"/>
    <mergeCell ref="A56:B56"/>
    <mergeCell ref="E7:H8"/>
    <mergeCell ref="A3:L4"/>
    <mergeCell ref="C13:C14"/>
    <mergeCell ref="D19:D20"/>
    <mergeCell ref="A5:L6"/>
    <mergeCell ref="C15:C16"/>
    <mergeCell ref="A44:B44"/>
    <mergeCell ref="A29:C30"/>
    <mergeCell ref="A58:B58"/>
    <mergeCell ref="A15:B16"/>
    <mergeCell ref="D27:F30"/>
    <mergeCell ref="E15:F16"/>
    <mergeCell ref="D17:D18"/>
    <mergeCell ref="D11:D12"/>
    <mergeCell ref="J15:L16"/>
    <mergeCell ref="A11:B12"/>
    <mergeCell ref="E19:F20"/>
    <mergeCell ref="D23:D24"/>
    <mergeCell ref="G19:H20"/>
    <mergeCell ref="E9:F10"/>
    <mergeCell ref="G9:I10"/>
    <mergeCell ref="E11:F12"/>
    <mergeCell ref="G11:I12"/>
    <mergeCell ref="C9:C10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L70"/>
  <sheetViews>
    <sheetView zoomScale="55" zoomScaleNormal="55" workbookViewId="0">
      <selection activeCell="C32" sqref="C32:I64"/>
    </sheetView>
  </sheetViews>
  <sheetFormatPr defaultRowHeight="13.9" x14ac:dyDescent="0.4"/>
  <cols>
    <col min="1" max="3" width="9.0625" style="3" bestFit="1" customWidth="1"/>
    <col min="4" max="4" width="9.75" style="3" bestFit="1" customWidth="1"/>
    <col min="5" max="12" width="9.0625" style="3" bestFit="1" customWidth="1"/>
    <col min="13" max="16384" width="9" style="3"/>
  </cols>
  <sheetData>
    <row r="1" spans="1:12" x14ac:dyDescent="0.4">
      <c r="A1" s="31">
        <v>1</v>
      </c>
      <c r="B1" s="31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235" t="s">
        <v>48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101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73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f>C64</f>
        <v>0</v>
      </c>
      <c r="D11" s="214">
        <v>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f>D64</f>
        <v>0</v>
      </c>
      <c r="D13" s="214">
        <v>11000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0</v>
      </c>
      <c r="E19" s="214">
        <f>D19*C19</f>
        <v>0</v>
      </c>
      <c r="F19" s="146"/>
      <c r="G19" s="214" t="s">
        <v>16</v>
      </c>
      <c r="H19" s="146"/>
      <c r="I19" s="223">
        <v>0</v>
      </c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0</v>
      </c>
      <c r="E21" s="214">
        <f>D21*C21</f>
        <v>0</v>
      </c>
      <c r="F21" s="146"/>
      <c r="G21" s="214"/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F64</f>
        <v>0</v>
      </c>
      <c r="D25" s="229">
        <v>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I17+I19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6" t="s">
        <v>9</v>
      </c>
      <c r="D32" s="7" t="s">
        <v>219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42"/>
      <c r="K33" s="42"/>
      <c r="L33" s="53">
        <f t="shared" ref="L33:L63" si="0">D33*11000</f>
        <v>0</v>
      </c>
    </row>
    <row r="34" spans="1:12" x14ac:dyDescent="0.4">
      <c r="A34" s="215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42"/>
      <c r="K47" s="42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42"/>
      <c r="K48" s="42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42"/>
      <c r="K49" s="42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42"/>
      <c r="K50" s="42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42"/>
      <c r="K51" s="42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42"/>
      <c r="K52" s="42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42"/>
      <c r="K53" s="42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42"/>
      <c r="K54" s="42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74">
        <f t="shared" ref="C64:I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89">
        <f t="shared" ref="J64:L64" si="2">SUM(J33:J63)</f>
        <v>0</v>
      </c>
      <c r="K64" s="89">
        <f t="shared" si="2"/>
        <v>0</v>
      </c>
      <c r="L64" s="98">
        <f t="shared" si="2"/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 t="s">
        <v>102</v>
      </c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I7:L8"/>
    <mergeCell ref="A54:B54"/>
    <mergeCell ref="A41:B41"/>
    <mergeCell ref="D13:D14"/>
    <mergeCell ref="A46:B46"/>
    <mergeCell ref="A37:B37"/>
    <mergeCell ref="G13:I14"/>
    <mergeCell ref="D9:D10"/>
    <mergeCell ref="C17:C18"/>
    <mergeCell ref="D25:D26"/>
    <mergeCell ref="A31:L31"/>
    <mergeCell ref="A27:C28"/>
    <mergeCell ref="I23:L24"/>
    <mergeCell ref="E17:F18"/>
    <mergeCell ref="C19:C20"/>
    <mergeCell ref="G17:H18"/>
    <mergeCell ref="A52:B52"/>
    <mergeCell ref="A7:D8"/>
    <mergeCell ref="C21:C22"/>
    <mergeCell ref="J9:L10"/>
    <mergeCell ref="D15:D16"/>
    <mergeCell ref="J11:L12"/>
    <mergeCell ref="A33:B33"/>
    <mergeCell ref="A42:B42"/>
    <mergeCell ref="I19:L20"/>
    <mergeCell ref="A35:B35"/>
    <mergeCell ref="A61:B61"/>
    <mergeCell ref="A13:B14"/>
    <mergeCell ref="G27:L30"/>
    <mergeCell ref="I21:L22"/>
    <mergeCell ref="C25:C26"/>
    <mergeCell ref="A19:B20"/>
    <mergeCell ref="J13:L14"/>
    <mergeCell ref="G23:H24"/>
    <mergeCell ref="A21:B22"/>
    <mergeCell ref="D69:H70"/>
    <mergeCell ref="A53:B53"/>
    <mergeCell ref="A62:B62"/>
    <mergeCell ref="A39:B39"/>
    <mergeCell ref="A48:B48"/>
    <mergeCell ref="G25:L26"/>
    <mergeCell ref="A59:B59"/>
    <mergeCell ref="A45:B45"/>
    <mergeCell ref="A32:B32"/>
    <mergeCell ref="A50:B50"/>
    <mergeCell ref="A47:B47"/>
    <mergeCell ref="A34:B34"/>
    <mergeCell ref="A49:B49"/>
    <mergeCell ref="A36:B36"/>
    <mergeCell ref="A64:B64"/>
    <mergeCell ref="A63:B63"/>
    <mergeCell ref="I69:L70"/>
    <mergeCell ref="A67:C68"/>
    <mergeCell ref="A69:C70"/>
    <mergeCell ref="A9:B10"/>
    <mergeCell ref="E25:F26"/>
    <mergeCell ref="A55:B55"/>
    <mergeCell ref="I67:L68"/>
    <mergeCell ref="E21:F22"/>
    <mergeCell ref="C23:C24"/>
    <mergeCell ref="G21:H22"/>
    <mergeCell ref="A57:B57"/>
    <mergeCell ref="A65:L66"/>
    <mergeCell ref="E13:F14"/>
    <mergeCell ref="G15:I16"/>
    <mergeCell ref="A38:B38"/>
    <mergeCell ref="A43:B43"/>
    <mergeCell ref="E23:F24"/>
    <mergeCell ref="A40:B40"/>
    <mergeCell ref="A60:B60"/>
    <mergeCell ref="A23:B26"/>
    <mergeCell ref="A17:B18"/>
    <mergeCell ref="C11:C12"/>
    <mergeCell ref="I17:L18"/>
    <mergeCell ref="A51:B51"/>
    <mergeCell ref="D21:D22"/>
    <mergeCell ref="D67:H68"/>
    <mergeCell ref="A56:B56"/>
    <mergeCell ref="E7:H8"/>
    <mergeCell ref="A3:L4"/>
    <mergeCell ref="C13:C14"/>
    <mergeCell ref="D19:D20"/>
    <mergeCell ref="A5:L6"/>
    <mergeCell ref="C15:C16"/>
    <mergeCell ref="A44:B44"/>
    <mergeCell ref="A29:C30"/>
    <mergeCell ref="A58:B58"/>
    <mergeCell ref="A15:B16"/>
    <mergeCell ref="D27:F30"/>
    <mergeCell ref="E15:F16"/>
    <mergeCell ref="D17:D18"/>
    <mergeCell ref="D11:D12"/>
    <mergeCell ref="J15:L16"/>
    <mergeCell ref="A11:B12"/>
    <mergeCell ref="E19:F20"/>
    <mergeCell ref="D23:D24"/>
    <mergeCell ref="G19:H20"/>
    <mergeCell ref="E9:F10"/>
    <mergeCell ref="G9:I10"/>
    <mergeCell ref="E11:F12"/>
    <mergeCell ref="G11:I12"/>
    <mergeCell ref="C9:C10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L70"/>
  <sheetViews>
    <sheetView topLeftCell="A11" zoomScale="55" zoomScaleNormal="55" workbookViewId="0">
      <selection activeCell="L34" sqref="L34"/>
    </sheetView>
  </sheetViews>
  <sheetFormatPr defaultRowHeight="13.9" x14ac:dyDescent="0.4"/>
  <cols>
    <col min="1" max="3" width="9.0625" style="3" bestFit="1" customWidth="1"/>
    <col min="4" max="4" width="9.75" style="3" bestFit="1" customWidth="1"/>
    <col min="5" max="12" width="9.0625" style="3" bestFit="1" customWidth="1"/>
    <col min="13" max="16384" width="9" style="3"/>
  </cols>
  <sheetData>
    <row r="1" spans="1:12" x14ac:dyDescent="0.4">
      <c r="A1" s="31">
        <v>1</v>
      </c>
      <c r="B1" s="31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235" t="s">
        <v>103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104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105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f>C64</f>
        <v>0</v>
      </c>
      <c r="D11" s="214">
        <v>1900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f>D64</f>
        <v>0</v>
      </c>
      <c r="D13" s="214">
        <v>11000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0</v>
      </c>
      <c r="E19" s="214">
        <f>D19*C19</f>
        <v>0</v>
      </c>
      <c r="F19" s="146"/>
      <c r="G19" s="214" t="s">
        <v>106</v>
      </c>
      <c r="H19" s="146"/>
      <c r="I19" s="223">
        <v>0</v>
      </c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0</v>
      </c>
      <c r="E21" s="214">
        <f>D21*C21</f>
        <v>0</v>
      </c>
      <c r="F21" s="146"/>
      <c r="G21" s="214"/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F64</f>
        <v>0</v>
      </c>
      <c r="D25" s="229">
        <v>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I17+I19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43" t="s">
        <v>9</v>
      </c>
      <c r="D32" s="110" t="s">
        <v>24</v>
      </c>
      <c r="E32" s="2"/>
      <c r="F32" s="2"/>
      <c r="G32" s="2"/>
      <c r="H32" s="2"/>
      <c r="I32" s="2"/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48"/>
      <c r="D33" s="111"/>
      <c r="E33" s="53"/>
      <c r="F33" s="53"/>
      <c r="G33" s="53"/>
      <c r="H33" s="53"/>
      <c r="I33" s="53"/>
      <c r="J33" s="42"/>
      <c r="K33" s="42"/>
      <c r="L33" s="53">
        <f t="shared" ref="L33:L63" si="0">C33*1900</f>
        <v>0</v>
      </c>
    </row>
    <row r="34" spans="1:12" x14ac:dyDescent="0.4">
      <c r="A34" s="215" t="e">
        <f>#REF!</f>
        <v>#REF!</v>
      </c>
      <c r="B34" s="137"/>
      <c r="C34" s="48"/>
      <c r="D34" s="111"/>
      <c r="E34" s="53"/>
      <c r="F34" s="53"/>
      <c r="G34" s="53"/>
      <c r="H34" s="53"/>
      <c r="I34" s="53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48"/>
      <c r="D35" s="111"/>
      <c r="E35" s="53"/>
      <c r="F35" s="53"/>
      <c r="G35" s="53"/>
      <c r="H35" s="53"/>
      <c r="I35" s="53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48"/>
      <c r="D36" s="111"/>
      <c r="E36" s="53"/>
      <c r="F36" s="53"/>
      <c r="G36" s="53"/>
      <c r="H36" s="53"/>
      <c r="I36" s="53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48"/>
      <c r="D37" s="111"/>
      <c r="E37" s="53"/>
      <c r="F37" s="53"/>
      <c r="G37" s="53"/>
      <c r="H37" s="53"/>
      <c r="I37" s="53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48"/>
      <c r="D38" s="111"/>
      <c r="E38" s="53"/>
      <c r="F38" s="53"/>
      <c r="G38" s="53"/>
      <c r="H38" s="53"/>
      <c r="I38" s="53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48"/>
      <c r="D39" s="111"/>
      <c r="E39" s="53"/>
      <c r="F39" s="53"/>
      <c r="G39" s="53"/>
      <c r="H39" s="53"/>
      <c r="I39" s="53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48"/>
      <c r="D40" s="111"/>
      <c r="E40" s="53"/>
      <c r="F40" s="53"/>
      <c r="G40" s="53"/>
      <c r="H40" s="53"/>
      <c r="I40" s="53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48"/>
      <c r="D41" s="111"/>
      <c r="E41" s="53"/>
      <c r="F41" s="53"/>
      <c r="G41" s="53"/>
      <c r="H41" s="53"/>
      <c r="I41" s="53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48"/>
      <c r="D42" s="111"/>
      <c r="E42" s="53"/>
      <c r="F42" s="53"/>
      <c r="G42" s="53"/>
      <c r="H42" s="53"/>
      <c r="I42" s="53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48"/>
      <c r="D43" s="111"/>
      <c r="E43" s="53"/>
      <c r="F43" s="53"/>
      <c r="G43" s="53"/>
      <c r="H43" s="53"/>
      <c r="I43" s="53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48"/>
      <c r="D44" s="111"/>
      <c r="E44" s="53"/>
      <c r="F44" s="53"/>
      <c r="G44" s="53"/>
      <c r="H44" s="53"/>
      <c r="I44" s="53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48"/>
      <c r="D45" s="111"/>
      <c r="E45" s="53"/>
      <c r="F45" s="53"/>
      <c r="G45" s="53"/>
      <c r="H45" s="53"/>
      <c r="I45" s="53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48"/>
      <c r="D46" s="111"/>
      <c r="E46" s="53"/>
      <c r="F46" s="53"/>
      <c r="G46" s="53"/>
      <c r="H46" s="53"/>
      <c r="I46" s="53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48"/>
      <c r="D47" s="111"/>
      <c r="E47" s="53"/>
      <c r="F47" s="53"/>
      <c r="G47" s="53"/>
      <c r="H47" s="53"/>
      <c r="I47" s="53"/>
      <c r="J47" s="42"/>
      <c r="K47" s="42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48"/>
      <c r="D48" s="111"/>
      <c r="E48" s="53"/>
      <c r="F48" s="53"/>
      <c r="G48" s="53"/>
      <c r="H48" s="53"/>
      <c r="I48" s="53"/>
      <c r="J48" s="42"/>
      <c r="K48" s="42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48"/>
      <c r="D49" s="111"/>
      <c r="E49" s="53"/>
      <c r="F49" s="53"/>
      <c r="G49" s="53"/>
      <c r="H49" s="53"/>
      <c r="I49" s="53"/>
      <c r="J49" s="42"/>
      <c r="K49" s="42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48"/>
      <c r="D50" s="111"/>
      <c r="E50" s="53"/>
      <c r="F50" s="53"/>
      <c r="G50" s="53"/>
      <c r="H50" s="53"/>
      <c r="I50" s="53"/>
      <c r="J50" s="42"/>
      <c r="K50" s="42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48"/>
      <c r="D51" s="111"/>
      <c r="E51" s="53"/>
      <c r="F51" s="53"/>
      <c r="G51" s="53"/>
      <c r="H51" s="53"/>
      <c r="I51" s="53"/>
      <c r="J51" s="42"/>
      <c r="K51" s="42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48"/>
      <c r="D52" s="111"/>
      <c r="E52" s="53"/>
      <c r="F52" s="53"/>
      <c r="G52" s="53"/>
      <c r="H52" s="53"/>
      <c r="I52" s="53"/>
      <c r="J52" s="42"/>
      <c r="K52" s="42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48"/>
      <c r="D53" s="111"/>
      <c r="E53" s="53"/>
      <c r="F53" s="53"/>
      <c r="G53" s="53"/>
      <c r="H53" s="53"/>
      <c r="I53" s="53"/>
      <c r="J53" s="42"/>
      <c r="K53" s="42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48"/>
      <c r="D54" s="111"/>
      <c r="E54" s="53"/>
      <c r="F54" s="53"/>
      <c r="G54" s="53"/>
      <c r="H54" s="53"/>
      <c r="I54" s="53"/>
      <c r="J54" s="42"/>
      <c r="K54" s="42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48"/>
      <c r="D55" s="111"/>
      <c r="E55" s="53"/>
      <c r="F55" s="53"/>
      <c r="G55" s="53"/>
      <c r="H55" s="53"/>
      <c r="I55" s="53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48"/>
      <c r="D56" s="111"/>
      <c r="E56" s="53"/>
      <c r="F56" s="53"/>
      <c r="G56" s="53"/>
      <c r="H56" s="53"/>
      <c r="I56" s="53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48"/>
      <c r="D57" s="111"/>
      <c r="E57" s="53"/>
      <c r="F57" s="53"/>
      <c r="G57" s="53"/>
      <c r="H57" s="53"/>
      <c r="I57" s="53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48"/>
      <c r="D58" s="111"/>
      <c r="E58" s="53"/>
      <c r="F58" s="53"/>
      <c r="G58" s="53"/>
      <c r="H58" s="53"/>
      <c r="I58" s="53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48"/>
      <c r="D59" s="111"/>
      <c r="E59" s="53"/>
      <c r="F59" s="53"/>
      <c r="G59" s="53"/>
      <c r="H59" s="53"/>
      <c r="I59" s="53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48"/>
      <c r="D60" s="111"/>
      <c r="E60" s="53"/>
      <c r="F60" s="53"/>
      <c r="G60" s="53"/>
      <c r="H60" s="53"/>
      <c r="I60" s="53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48"/>
      <c r="D61" s="111"/>
      <c r="E61" s="53"/>
      <c r="F61" s="53"/>
      <c r="G61" s="53"/>
      <c r="H61" s="53"/>
      <c r="I61" s="53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48"/>
      <c r="D62" s="111"/>
      <c r="E62" s="53"/>
      <c r="F62" s="53"/>
      <c r="G62" s="53"/>
      <c r="H62" s="53"/>
      <c r="I62" s="53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48"/>
      <c r="D63" s="111"/>
      <c r="E63" s="53"/>
      <c r="F63" s="53"/>
      <c r="G63" s="53"/>
      <c r="H63" s="53"/>
      <c r="I63" s="53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90">
        <f t="shared" ref="C64:L64" si="1">SUM(C33:C63)</f>
        <v>0</v>
      </c>
      <c r="D64" s="112">
        <f t="shared" si="1"/>
        <v>0</v>
      </c>
      <c r="E64" s="89">
        <f t="shared" si="1"/>
        <v>0</v>
      </c>
      <c r="F64" s="89">
        <f t="shared" si="1"/>
        <v>0</v>
      </c>
      <c r="G64" s="89">
        <f t="shared" si="1"/>
        <v>0</v>
      </c>
      <c r="H64" s="89">
        <f t="shared" si="1"/>
        <v>0</v>
      </c>
      <c r="I64" s="89">
        <f t="shared" si="1"/>
        <v>0</v>
      </c>
      <c r="J64" s="89">
        <f t="shared" si="1"/>
        <v>0</v>
      </c>
      <c r="K64" s="89">
        <f t="shared" si="1"/>
        <v>0</v>
      </c>
      <c r="L64" s="98">
        <f t="shared" si="1"/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 t="s">
        <v>107</v>
      </c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I7:L8"/>
    <mergeCell ref="A54:B54"/>
    <mergeCell ref="A41:B41"/>
    <mergeCell ref="D13:D14"/>
    <mergeCell ref="A46:B46"/>
    <mergeCell ref="A37:B37"/>
    <mergeCell ref="G13:I14"/>
    <mergeCell ref="D9:D10"/>
    <mergeCell ref="C17:C18"/>
    <mergeCell ref="D25:D26"/>
    <mergeCell ref="A31:L31"/>
    <mergeCell ref="A27:C28"/>
    <mergeCell ref="I23:L24"/>
    <mergeCell ref="E17:F18"/>
    <mergeCell ref="C19:C20"/>
    <mergeCell ref="G17:H18"/>
    <mergeCell ref="A52:B52"/>
    <mergeCell ref="A7:D8"/>
    <mergeCell ref="C21:C22"/>
    <mergeCell ref="J9:L10"/>
    <mergeCell ref="D15:D16"/>
    <mergeCell ref="J11:L12"/>
    <mergeCell ref="A33:B33"/>
    <mergeCell ref="A42:B42"/>
    <mergeCell ref="I19:L20"/>
    <mergeCell ref="A35:B35"/>
    <mergeCell ref="A61:B61"/>
    <mergeCell ref="A13:B14"/>
    <mergeCell ref="G27:L30"/>
    <mergeCell ref="I21:L22"/>
    <mergeCell ref="C25:C26"/>
    <mergeCell ref="A19:B20"/>
    <mergeCell ref="J13:L14"/>
    <mergeCell ref="G23:H24"/>
    <mergeCell ref="A21:B22"/>
    <mergeCell ref="D69:H70"/>
    <mergeCell ref="A53:B53"/>
    <mergeCell ref="A62:B62"/>
    <mergeCell ref="A39:B39"/>
    <mergeCell ref="A48:B48"/>
    <mergeCell ref="G25:L26"/>
    <mergeCell ref="A59:B59"/>
    <mergeCell ref="A45:B45"/>
    <mergeCell ref="A32:B32"/>
    <mergeCell ref="A50:B50"/>
    <mergeCell ref="A47:B47"/>
    <mergeCell ref="A34:B34"/>
    <mergeCell ref="A49:B49"/>
    <mergeCell ref="A36:B36"/>
    <mergeCell ref="A64:B64"/>
    <mergeCell ref="A63:B63"/>
    <mergeCell ref="I69:L70"/>
    <mergeCell ref="A67:C68"/>
    <mergeCell ref="A69:C70"/>
    <mergeCell ref="A9:B10"/>
    <mergeCell ref="E25:F26"/>
    <mergeCell ref="A55:B55"/>
    <mergeCell ref="I67:L68"/>
    <mergeCell ref="E21:F22"/>
    <mergeCell ref="C23:C24"/>
    <mergeCell ref="G21:H22"/>
    <mergeCell ref="A57:B57"/>
    <mergeCell ref="A65:L66"/>
    <mergeCell ref="E13:F14"/>
    <mergeCell ref="G15:I16"/>
    <mergeCell ref="A38:B38"/>
    <mergeCell ref="A43:B43"/>
    <mergeCell ref="E23:F24"/>
    <mergeCell ref="A40:B40"/>
    <mergeCell ref="A60:B60"/>
    <mergeCell ref="A23:B26"/>
    <mergeCell ref="A17:B18"/>
    <mergeCell ref="C11:C12"/>
    <mergeCell ref="I17:L18"/>
    <mergeCell ref="A51:B51"/>
    <mergeCell ref="D21:D22"/>
    <mergeCell ref="D67:H68"/>
    <mergeCell ref="A56:B56"/>
    <mergeCell ref="E7:H8"/>
    <mergeCell ref="A3:L4"/>
    <mergeCell ref="C13:C14"/>
    <mergeCell ref="D19:D20"/>
    <mergeCell ref="A5:L6"/>
    <mergeCell ref="C15:C16"/>
    <mergeCell ref="A44:B44"/>
    <mergeCell ref="A29:C30"/>
    <mergeCell ref="A58:B58"/>
    <mergeCell ref="A15:B16"/>
    <mergeCell ref="D27:F30"/>
    <mergeCell ref="E15:F16"/>
    <mergeCell ref="D17:D18"/>
    <mergeCell ref="D11:D12"/>
    <mergeCell ref="J15:L16"/>
    <mergeCell ref="A11:B12"/>
    <mergeCell ref="E19:F20"/>
    <mergeCell ref="D23:D24"/>
    <mergeCell ref="G19:H20"/>
    <mergeCell ref="E9:F10"/>
    <mergeCell ref="G9:I10"/>
    <mergeCell ref="E11:F12"/>
    <mergeCell ref="G11:I12"/>
    <mergeCell ref="C9:C10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L70"/>
  <sheetViews>
    <sheetView zoomScale="55" zoomScaleNormal="55" workbookViewId="0">
      <selection activeCell="L35" sqref="L35"/>
    </sheetView>
  </sheetViews>
  <sheetFormatPr defaultRowHeight="13.9" x14ac:dyDescent="0.4"/>
  <cols>
    <col min="1" max="16384" width="9" style="3"/>
  </cols>
  <sheetData>
    <row r="1" spans="1:12" x14ac:dyDescent="0.4">
      <c r="A1" s="31">
        <v>1</v>
      </c>
      <c r="B1" s="31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242" t="s">
        <v>108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218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109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f>C64</f>
        <v>0</v>
      </c>
      <c r="D11" s="214">
        <v>1900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f>D64</f>
        <v>0</v>
      </c>
      <c r="D13" s="214">
        <v>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0</v>
      </c>
      <c r="E19" s="214">
        <f>D19*C19</f>
        <v>0</v>
      </c>
      <c r="F19" s="146"/>
      <c r="G19" s="226"/>
      <c r="H19" s="120"/>
      <c r="I19" s="236"/>
      <c r="J19" s="140"/>
      <c r="K19" s="140"/>
      <c r="L19" s="120"/>
    </row>
    <row r="20" spans="1:12" x14ac:dyDescent="0.4">
      <c r="A20" s="147"/>
      <c r="B20" s="148"/>
      <c r="C20" s="149"/>
      <c r="D20" s="149"/>
      <c r="E20" s="147"/>
      <c r="F20" s="148"/>
      <c r="G20" s="141"/>
      <c r="H20" s="144"/>
      <c r="I20" s="141"/>
      <c r="J20" s="142"/>
      <c r="K20" s="142"/>
      <c r="L20" s="144"/>
    </row>
    <row r="21" spans="1:12" x14ac:dyDescent="0.4">
      <c r="A21" s="214" t="s">
        <v>17</v>
      </c>
      <c r="B21" s="146"/>
      <c r="C21" s="214">
        <f>I64</f>
        <v>0</v>
      </c>
      <c r="D21" s="214">
        <v>0</v>
      </c>
      <c r="E21" s="214">
        <f>D21*C21</f>
        <v>0</v>
      </c>
      <c r="F21" s="146"/>
      <c r="G21" s="214"/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F64</f>
        <v>0</v>
      </c>
      <c r="D25" s="229">
        <v>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I17+I19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43" t="s">
        <v>9</v>
      </c>
      <c r="D32" s="2"/>
      <c r="E32" s="2"/>
      <c r="F32" s="2"/>
      <c r="G32" s="2"/>
      <c r="H32" s="2"/>
      <c r="I32" s="2"/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48"/>
      <c r="D33" s="53"/>
      <c r="E33" s="53"/>
      <c r="F33" s="53"/>
      <c r="G33" s="53"/>
      <c r="H33" s="53"/>
      <c r="I33" s="53"/>
      <c r="J33" s="42"/>
      <c r="K33" s="42"/>
      <c r="L33" s="53">
        <f t="shared" ref="L33:L63" si="0">C33*1900</f>
        <v>0</v>
      </c>
    </row>
    <row r="34" spans="1:12" x14ac:dyDescent="0.4">
      <c r="A34" s="215" t="e">
        <f>#REF!</f>
        <v>#REF!</v>
      </c>
      <c r="B34" s="137"/>
      <c r="C34" s="48"/>
      <c r="D34" s="53"/>
      <c r="E34" s="53"/>
      <c r="F34" s="53"/>
      <c r="G34" s="53"/>
      <c r="H34" s="53"/>
      <c r="I34" s="53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48"/>
      <c r="D35" s="53"/>
      <c r="E35" s="53"/>
      <c r="F35" s="53"/>
      <c r="G35" s="53"/>
      <c r="H35" s="53"/>
      <c r="I35" s="53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48"/>
      <c r="D36" s="53"/>
      <c r="E36" s="53"/>
      <c r="F36" s="53"/>
      <c r="G36" s="53"/>
      <c r="H36" s="53"/>
      <c r="I36" s="53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48"/>
      <c r="D37" s="53"/>
      <c r="E37" s="53"/>
      <c r="F37" s="53"/>
      <c r="G37" s="53"/>
      <c r="H37" s="53"/>
      <c r="I37" s="53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48"/>
      <c r="D38" s="53"/>
      <c r="E38" s="53"/>
      <c r="F38" s="53"/>
      <c r="G38" s="53"/>
      <c r="H38" s="53"/>
      <c r="I38" s="53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48"/>
      <c r="D39" s="53"/>
      <c r="E39" s="53"/>
      <c r="F39" s="53"/>
      <c r="G39" s="53"/>
      <c r="H39" s="53"/>
      <c r="I39" s="53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48"/>
      <c r="D40" s="53"/>
      <c r="E40" s="53"/>
      <c r="F40" s="53"/>
      <c r="G40" s="53"/>
      <c r="H40" s="53"/>
      <c r="I40" s="53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48"/>
      <c r="D41" s="53"/>
      <c r="E41" s="53"/>
      <c r="F41" s="53"/>
      <c r="G41" s="53"/>
      <c r="H41" s="53"/>
      <c r="I41" s="53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48"/>
      <c r="D42" s="53"/>
      <c r="E42" s="53"/>
      <c r="F42" s="53"/>
      <c r="G42" s="53"/>
      <c r="H42" s="53"/>
      <c r="I42" s="53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48"/>
      <c r="D43" s="53"/>
      <c r="E43" s="53"/>
      <c r="F43" s="53"/>
      <c r="G43" s="53"/>
      <c r="H43" s="53"/>
      <c r="I43" s="53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48"/>
      <c r="D44" s="53"/>
      <c r="E44" s="53"/>
      <c r="F44" s="53"/>
      <c r="G44" s="53"/>
      <c r="H44" s="53"/>
      <c r="I44" s="53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48"/>
      <c r="D45" s="53"/>
      <c r="E45" s="53"/>
      <c r="F45" s="53"/>
      <c r="G45" s="53"/>
      <c r="H45" s="53"/>
      <c r="I45" s="53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48"/>
      <c r="D46" s="53"/>
      <c r="E46" s="53"/>
      <c r="F46" s="53"/>
      <c r="G46" s="53"/>
      <c r="H46" s="53"/>
      <c r="I46" s="53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48"/>
      <c r="D47" s="53"/>
      <c r="E47" s="53"/>
      <c r="F47" s="53"/>
      <c r="G47" s="53"/>
      <c r="H47" s="53"/>
      <c r="I47" s="53"/>
      <c r="J47" s="42"/>
      <c r="K47" s="42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48"/>
      <c r="D48" s="53"/>
      <c r="E48" s="53"/>
      <c r="F48" s="53"/>
      <c r="G48" s="53"/>
      <c r="H48" s="53"/>
      <c r="I48" s="53"/>
      <c r="J48" s="42"/>
      <c r="K48" s="42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48"/>
      <c r="D49" s="53"/>
      <c r="E49" s="53"/>
      <c r="F49" s="53"/>
      <c r="G49" s="53"/>
      <c r="H49" s="53"/>
      <c r="I49" s="53"/>
      <c r="J49" s="42"/>
      <c r="K49" s="42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48"/>
      <c r="D50" s="53"/>
      <c r="E50" s="53"/>
      <c r="F50" s="53"/>
      <c r="G50" s="53"/>
      <c r="H50" s="53"/>
      <c r="I50" s="53"/>
      <c r="J50" s="42"/>
      <c r="K50" s="42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48"/>
      <c r="D51" s="53"/>
      <c r="E51" s="53"/>
      <c r="F51" s="53"/>
      <c r="G51" s="53"/>
      <c r="H51" s="53"/>
      <c r="I51" s="53"/>
      <c r="J51" s="42"/>
      <c r="K51" s="42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48"/>
      <c r="D52" s="53"/>
      <c r="E52" s="53"/>
      <c r="F52" s="53"/>
      <c r="G52" s="53"/>
      <c r="H52" s="53"/>
      <c r="I52" s="53"/>
      <c r="J52" s="42"/>
      <c r="K52" s="42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48"/>
      <c r="D53" s="53"/>
      <c r="E53" s="53"/>
      <c r="F53" s="53"/>
      <c r="G53" s="53"/>
      <c r="H53" s="53"/>
      <c r="I53" s="53"/>
      <c r="J53" s="42"/>
      <c r="K53" s="42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48"/>
      <c r="D54" s="53"/>
      <c r="E54" s="53"/>
      <c r="F54" s="53"/>
      <c r="G54" s="53"/>
      <c r="H54" s="53"/>
      <c r="I54" s="53"/>
      <c r="J54" s="42"/>
      <c r="K54" s="42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48"/>
      <c r="D55" s="53"/>
      <c r="E55" s="53"/>
      <c r="F55" s="53"/>
      <c r="G55" s="53"/>
      <c r="H55" s="53"/>
      <c r="I55" s="53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48"/>
      <c r="D56" s="53"/>
      <c r="E56" s="53"/>
      <c r="F56" s="53"/>
      <c r="G56" s="53"/>
      <c r="H56" s="53"/>
      <c r="I56" s="53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48"/>
      <c r="D57" s="53"/>
      <c r="E57" s="53"/>
      <c r="F57" s="53"/>
      <c r="G57" s="53"/>
      <c r="H57" s="53"/>
      <c r="I57" s="53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48"/>
      <c r="D58" s="53"/>
      <c r="E58" s="53"/>
      <c r="F58" s="53"/>
      <c r="G58" s="53"/>
      <c r="H58" s="53"/>
      <c r="I58" s="53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48"/>
      <c r="D59" s="53"/>
      <c r="E59" s="53"/>
      <c r="F59" s="53"/>
      <c r="G59" s="53"/>
      <c r="H59" s="53"/>
      <c r="I59" s="53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48"/>
      <c r="D60" s="53"/>
      <c r="E60" s="53"/>
      <c r="F60" s="53"/>
      <c r="G60" s="53"/>
      <c r="H60" s="53"/>
      <c r="I60" s="53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48"/>
      <c r="D61" s="53"/>
      <c r="E61" s="53"/>
      <c r="F61" s="53"/>
      <c r="G61" s="53"/>
      <c r="H61" s="53"/>
      <c r="I61" s="53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48"/>
      <c r="D62" s="53"/>
      <c r="E62" s="53"/>
      <c r="F62" s="53"/>
      <c r="G62" s="53"/>
      <c r="H62" s="53"/>
      <c r="I62" s="53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48"/>
      <c r="D63" s="53"/>
      <c r="E63" s="53"/>
      <c r="F63" s="53"/>
      <c r="G63" s="53"/>
      <c r="H63" s="53"/>
      <c r="I63" s="53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90">
        <f t="shared" ref="C64:L64" si="1">SUM(C33:C63)</f>
        <v>0</v>
      </c>
      <c r="D64" s="89">
        <f t="shared" si="1"/>
        <v>0</v>
      </c>
      <c r="E64" s="89">
        <f t="shared" si="1"/>
        <v>0</v>
      </c>
      <c r="F64" s="89">
        <f t="shared" si="1"/>
        <v>0</v>
      </c>
      <c r="G64" s="89">
        <f t="shared" si="1"/>
        <v>0</v>
      </c>
      <c r="H64" s="89">
        <f t="shared" si="1"/>
        <v>0</v>
      </c>
      <c r="I64" s="89">
        <f t="shared" si="1"/>
        <v>0</v>
      </c>
      <c r="J64" s="89">
        <f t="shared" si="1"/>
        <v>0</v>
      </c>
      <c r="K64" s="89">
        <f t="shared" si="1"/>
        <v>0</v>
      </c>
      <c r="L64" s="98">
        <f t="shared" si="1"/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 t="s">
        <v>110</v>
      </c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I7:L8"/>
    <mergeCell ref="A54:B54"/>
    <mergeCell ref="A41:B41"/>
    <mergeCell ref="D13:D14"/>
    <mergeCell ref="A46:B46"/>
    <mergeCell ref="A37:B37"/>
    <mergeCell ref="G13:I14"/>
    <mergeCell ref="D9:D10"/>
    <mergeCell ref="C17:C18"/>
    <mergeCell ref="D25:D26"/>
    <mergeCell ref="A31:L31"/>
    <mergeCell ref="A27:C28"/>
    <mergeCell ref="I23:L24"/>
    <mergeCell ref="E17:F18"/>
    <mergeCell ref="C19:C20"/>
    <mergeCell ref="G17:H18"/>
    <mergeCell ref="A52:B52"/>
    <mergeCell ref="A7:D8"/>
    <mergeCell ref="C21:C22"/>
    <mergeCell ref="J9:L10"/>
    <mergeCell ref="D15:D16"/>
    <mergeCell ref="J11:L12"/>
    <mergeCell ref="A33:B33"/>
    <mergeCell ref="A42:B42"/>
    <mergeCell ref="I19:L20"/>
    <mergeCell ref="A35:B35"/>
    <mergeCell ref="A61:B61"/>
    <mergeCell ref="A13:B14"/>
    <mergeCell ref="G27:L30"/>
    <mergeCell ref="I21:L22"/>
    <mergeCell ref="C25:C26"/>
    <mergeCell ref="A19:B20"/>
    <mergeCell ref="J13:L14"/>
    <mergeCell ref="G23:H24"/>
    <mergeCell ref="A21:B22"/>
    <mergeCell ref="D69:H70"/>
    <mergeCell ref="A53:B53"/>
    <mergeCell ref="A62:B62"/>
    <mergeCell ref="A39:B39"/>
    <mergeCell ref="A48:B48"/>
    <mergeCell ref="G25:L26"/>
    <mergeCell ref="A59:B59"/>
    <mergeCell ref="A45:B45"/>
    <mergeCell ref="A32:B32"/>
    <mergeCell ref="A50:B50"/>
    <mergeCell ref="A47:B47"/>
    <mergeCell ref="A34:B34"/>
    <mergeCell ref="A49:B49"/>
    <mergeCell ref="A36:B36"/>
    <mergeCell ref="A64:B64"/>
    <mergeCell ref="A63:B63"/>
    <mergeCell ref="I69:L70"/>
    <mergeCell ref="A67:C68"/>
    <mergeCell ref="A69:C70"/>
    <mergeCell ref="A9:B10"/>
    <mergeCell ref="E25:F26"/>
    <mergeCell ref="A55:B55"/>
    <mergeCell ref="I67:L68"/>
    <mergeCell ref="E21:F22"/>
    <mergeCell ref="C23:C24"/>
    <mergeCell ref="G21:H22"/>
    <mergeCell ref="A57:B57"/>
    <mergeCell ref="A65:L66"/>
    <mergeCell ref="E13:F14"/>
    <mergeCell ref="G15:I16"/>
    <mergeCell ref="A38:B38"/>
    <mergeCell ref="A43:B43"/>
    <mergeCell ref="E23:F24"/>
    <mergeCell ref="A40:B40"/>
    <mergeCell ref="A60:B60"/>
    <mergeCell ref="A23:B26"/>
    <mergeCell ref="A17:B18"/>
    <mergeCell ref="C11:C12"/>
    <mergeCell ref="I17:L18"/>
    <mergeCell ref="A51:B51"/>
    <mergeCell ref="D21:D22"/>
    <mergeCell ref="D67:H68"/>
    <mergeCell ref="A56:B56"/>
    <mergeCell ref="E7:H8"/>
    <mergeCell ref="A3:L4"/>
    <mergeCell ref="C13:C14"/>
    <mergeCell ref="D19:D20"/>
    <mergeCell ref="A5:L6"/>
    <mergeCell ref="C15:C16"/>
    <mergeCell ref="A44:B44"/>
    <mergeCell ref="A29:C30"/>
    <mergeCell ref="A58:B58"/>
    <mergeCell ref="A15:B16"/>
    <mergeCell ref="D27:F30"/>
    <mergeCell ref="E15:F16"/>
    <mergeCell ref="D17:D18"/>
    <mergeCell ref="D11:D12"/>
    <mergeCell ref="J15:L16"/>
    <mergeCell ref="A11:B12"/>
    <mergeCell ref="E19:F20"/>
    <mergeCell ref="D23:D24"/>
    <mergeCell ref="G19:H20"/>
    <mergeCell ref="E9:F10"/>
    <mergeCell ref="G9:I10"/>
    <mergeCell ref="E11:F12"/>
    <mergeCell ref="G11:I12"/>
    <mergeCell ref="C9:C10"/>
  </mergeCells>
  <phoneticPr fontId="1" type="noConversion"/>
  <pageMargins left="0.7" right="0.7" top="0.75" bottom="0.75" header="0.3" footer="0.3"/>
  <pageSetup paperSize="9" scale="74" fitToHeight="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L70"/>
  <sheetViews>
    <sheetView zoomScale="55" zoomScaleNormal="55" workbookViewId="0">
      <selection activeCell="C32" sqref="C32"/>
    </sheetView>
  </sheetViews>
  <sheetFormatPr defaultRowHeight="13.9" x14ac:dyDescent="0.4"/>
  <cols>
    <col min="1" max="3" width="9.0625" style="3" bestFit="1" customWidth="1"/>
    <col min="4" max="4" width="9.1875" style="3" bestFit="1" customWidth="1"/>
    <col min="5" max="12" width="9.0625" style="3" bestFit="1" customWidth="1"/>
    <col min="13" max="16384" width="9" style="3"/>
  </cols>
  <sheetData>
    <row r="1" spans="1:12" x14ac:dyDescent="0.4">
      <c r="A1" s="31">
        <v>1</v>
      </c>
      <c r="B1" s="31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235" t="s">
        <v>111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112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109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f>C64</f>
        <v>0</v>
      </c>
      <c r="D11" s="214">
        <v>2000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f>D64</f>
        <v>0</v>
      </c>
      <c r="D13" s="214">
        <v>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0</v>
      </c>
      <c r="E19" s="214">
        <f>D19*C19</f>
        <v>0</v>
      </c>
      <c r="F19" s="146"/>
      <c r="G19" s="214" t="s">
        <v>16</v>
      </c>
      <c r="H19" s="146"/>
      <c r="I19" s="223">
        <v>0</v>
      </c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0</v>
      </c>
      <c r="E21" s="214">
        <f>D21*C21</f>
        <v>0</v>
      </c>
      <c r="F21" s="146"/>
      <c r="G21" s="214" t="s">
        <v>18</v>
      </c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F64</f>
        <v>0</v>
      </c>
      <c r="D25" s="229">
        <v>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I17+I19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43" t="s">
        <v>9</v>
      </c>
      <c r="D32" s="2"/>
      <c r="E32" s="2"/>
      <c r="F32" s="2"/>
      <c r="G32" s="2"/>
      <c r="H32" s="2"/>
      <c r="I32" s="2"/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48"/>
      <c r="D33" s="53"/>
      <c r="E33" s="53"/>
      <c r="F33" s="53"/>
      <c r="G33" s="53"/>
      <c r="H33" s="53"/>
      <c r="I33" s="53"/>
      <c r="J33" s="42"/>
      <c r="K33" s="42"/>
      <c r="L33" s="53">
        <f t="shared" ref="L33:L63" si="0">C33*2000</f>
        <v>0</v>
      </c>
    </row>
    <row r="34" spans="1:12" x14ac:dyDescent="0.4">
      <c r="A34" s="215" t="e">
        <f>#REF!</f>
        <v>#REF!</v>
      </c>
      <c r="B34" s="137"/>
      <c r="C34" s="48"/>
      <c r="D34" s="53"/>
      <c r="E34" s="53"/>
      <c r="F34" s="53"/>
      <c r="G34" s="53"/>
      <c r="H34" s="53"/>
      <c r="I34" s="53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48"/>
      <c r="D35" s="53"/>
      <c r="E35" s="53"/>
      <c r="F35" s="53"/>
      <c r="G35" s="53"/>
      <c r="H35" s="53"/>
      <c r="I35" s="53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48"/>
      <c r="D36" s="53"/>
      <c r="E36" s="53"/>
      <c r="F36" s="53"/>
      <c r="G36" s="53"/>
      <c r="H36" s="53"/>
      <c r="I36" s="53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48"/>
      <c r="D37" s="53"/>
      <c r="E37" s="53"/>
      <c r="F37" s="53"/>
      <c r="G37" s="53"/>
      <c r="H37" s="53"/>
      <c r="I37" s="53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48"/>
      <c r="D38" s="53"/>
      <c r="E38" s="53"/>
      <c r="F38" s="53"/>
      <c r="G38" s="53"/>
      <c r="H38" s="53"/>
      <c r="I38" s="53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48"/>
      <c r="D39" s="53"/>
      <c r="E39" s="53"/>
      <c r="F39" s="53"/>
      <c r="G39" s="53"/>
      <c r="H39" s="53"/>
      <c r="I39" s="53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48"/>
      <c r="D40" s="53"/>
      <c r="E40" s="53"/>
      <c r="F40" s="53"/>
      <c r="G40" s="53"/>
      <c r="H40" s="53"/>
      <c r="I40" s="53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48"/>
      <c r="D41" s="53"/>
      <c r="E41" s="53"/>
      <c r="F41" s="53"/>
      <c r="G41" s="53"/>
      <c r="H41" s="53"/>
      <c r="I41" s="53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48"/>
      <c r="D42" s="53"/>
      <c r="E42" s="53"/>
      <c r="F42" s="53"/>
      <c r="G42" s="53"/>
      <c r="H42" s="53"/>
      <c r="I42" s="53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48"/>
      <c r="D43" s="53"/>
      <c r="E43" s="53"/>
      <c r="F43" s="53"/>
      <c r="G43" s="53"/>
      <c r="H43" s="53"/>
      <c r="I43" s="53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48"/>
      <c r="D44" s="53"/>
      <c r="E44" s="53"/>
      <c r="F44" s="53"/>
      <c r="G44" s="53"/>
      <c r="H44" s="53"/>
      <c r="I44" s="53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48"/>
      <c r="D45" s="53"/>
      <c r="E45" s="53"/>
      <c r="F45" s="53"/>
      <c r="G45" s="53"/>
      <c r="H45" s="53"/>
      <c r="I45" s="53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48"/>
      <c r="D46" s="53"/>
      <c r="E46" s="53"/>
      <c r="F46" s="53"/>
      <c r="G46" s="53"/>
      <c r="H46" s="53"/>
      <c r="I46" s="53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48"/>
      <c r="D47" s="53"/>
      <c r="E47" s="53"/>
      <c r="F47" s="53"/>
      <c r="G47" s="53"/>
      <c r="H47" s="53"/>
      <c r="I47" s="53"/>
      <c r="J47" s="42"/>
      <c r="K47" s="42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48"/>
      <c r="D48" s="53"/>
      <c r="E48" s="53"/>
      <c r="F48" s="53"/>
      <c r="G48" s="53"/>
      <c r="H48" s="53"/>
      <c r="I48" s="53"/>
      <c r="J48" s="42"/>
      <c r="K48" s="42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48"/>
      <c r="D49" s="53"/>
      <c r="E49" s="53"/>
      <c r="F49" s="53"/>
      <c r="G49" s="53"/>
      <c r="H49" s="53"/>
      <c r="I49" s="53"/>
      <c r="J49" s="42"/>
      <c r="K49" s="42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48"/>
      <c r="D50" s="53"/>
      <c r="E50" s="53"/>
      <c r="F50" s="53"/>
      <c r="G50" s="53"/>
      <c r="H50" s="53"/>
      <c r="I50" s="53"/>
      <c r="J50" s="42"/>
      <c r="K50" s="42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48"/>
      <c r="D51" s="53"/>
      <c r="E51" s="53"/>
      <c r="F51" s="53"/>
      <c r="G51" s="53"/>
      <c r="H51" s="53"/>
      <c r="I51" s="53"/>
      <c r="J51" s="42"/>
      <c r="K51" s="42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48"/>
      <c r="D52" s="53"/>
      <c r="E52" s="53"/>
      <c r="F52" s="53"/>
      <c r="G52" s="53"/>
      <c r="H52" s="53"/>
      <c r="I52" s="53"/>
      <c r="J52" s="42"/>
      <c r="K52" s="42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48"/>
      <c r="D53" s="53"/>
      <c r="E53" s="53"/>
      <c r="F53" s="53"/>
      <c r="G53" s="53"/>
      <c r="H53" s="53"/>
      <c r="I53" s="53"/>
      <c r="J53" s="42"/>
      <c r="K53" s="42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48"/>
      <c r="D54" s="53"/>
      <c r="E54" s="53"/>
      <c r="F54" s="53"/>
      <c r="G54" s="53"/>
      <c r="H54" s="53"/>
      <c r="I54" s="53"/>
      <c r="J54" s="42"/>
      <c r="K54" s="42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48"/>
      <c r="D55" s="53"/>
      <c r="E55" s="53"/>
      <c r="F55" s="53"/>
      <c r="G55" s="53"/>
      <c r="H55" s="53"/>
      <c r="I55" s="53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48"/>
      <c r="D56" s="53"/>
      <c r="E56" s="53"/>
      <c r="F56" s="53"/>
      <c r="G56" s="53"/>
      <c r="H56" s="53"/>
      <c r="I56" s="53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48"/>
      <c r="D57" s="53"/>
      <c r="E57" s="53"/>
      <c r="F57" s="53"/>
      <c r="G57" s="53"/>
      <c r="H57" s="53"/>
      <c r="I57" s="53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48"/>
      <c r="D58" s="53"/>
      <c r="E58" s="53"/>
      <c r="F58" s="53"/>
      <c r="G58" s="53"/>
      <c r="H58" s="53"/>
      <c r="I58" s="53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48"/>
      <c r="D59" s="53"/>
      <c r="E59" s="53"/>
      <c r="F59" s="53"/>
      <c r="G59" s="53"/>
      <c r="H59" s="53"/>
      <c r="I59" s="53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48"/>
      <c r="D60" s="53"/>
      <c r="E60" s="53"/>
      <c r="F60" s="53"/>
      <c r="G60" s="53"/>
      <c r="H60" s="53"/>
      <c r="I60" s="53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48"/>
      <c r="D61" s="53"/>
      <c r="E61" s="53"/>
      <c r="F61" s="53"/>
      <c r="G61" s="53"/>
      <c r="H61" s="53"/>
      <c r="I61" s="53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48"/>
      <c r="D62" s="53"/>
      <c r="E62" s="53"/>
      <c r="F62" s="53"/>
      <c r="G62" s="53"/>
      <c r="H62" s="53"/>
      <c r="I62" s="53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48"/>
      <c r="D63" s="53"/>
      <c r="E63" s="53"/>
      <c r="F63" s="53"/>
      <c r="G63" s="53"/>
      <c r="H63" s="53"/>
      <c r="I63" s="53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90">
        <f t="shared" ref="C64:L64" si="1">SUM(C33:C63)</f>
        <v>0</v>
      </c>
      <c r="D64" s="89">
        <f t="shared" si="1"/>
        <v>0</v>
      </c>
      <c r="E64" s="89">
        <f t="shared" si="1"/>
        <v>0</v>
      </c>
      <c r="F64" s="89">
        <f t="shared" si="1"/>
        <v>0</v>
      </c>
      <c r="G64" s="89">
        <f t="shared" si="1"/>
        <v>0</v>
      </c>
      <c r="H64" s="89">
        <f t="shared" si="1"/>
        <v>0</v>
      </c>
      <c r="I64" s="89">
        <f t="shared" si="1"/>
        <v>0</v>
      </c>
      <c r="J64" s="89">
        <f t="shared" si="1"/>
        <v>0</v>
      </c>
      <c r="K64" s="89">
        <f t="shared" si="1"/>
        <v>0</v>
      </c>
      <c r="L64" s="98">
        <f t="shared" si="1"/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 t="s">
        <v>113</v>
      </c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I7:L8"/>
    <mergeCell ref="A54:B54"/>
    <mergeCell ref="A41:B41"/>
    <mergeCell ref="D13:D14"/>
    <mergeCell ref="A46:B46"/>
    <mergeCell ref="A37:B37"/>
    <mergeCell ref="G13:I14"/>
    <mergeCell ref="D9:D10"/>
    <mergeCell ref="C17:C18"/>
    <mergeCell ref="D25:D26"/>
    <mergeCell ref="A31:L31"/>
    <mergeCell ref="A27:C28"/>
    <mergeCell ref="I23:L24"/>
    <mergeCell ref="E17:F18"/>
    <mergeCell ref="C19:C20"/>
    <mergeCell ref="G17:H18"/>
    <mergeCell ref="A52:B52"/>
    <mergeCell ref="A7:D8"/>
    <mergeCell ref="C21:C22"/>
    <mergeCell ref="J9:L10"/>
    <mergeCell ref="D15:D16"/>
    <mergeCell ref="J11:L12"/>
    <mergeCell ref="A33:B33"/>
    <mergeCell ref="A42:B42"/>
    <mergeCell ref="I19:L20"/>
    <mergeCell ref="A35:B35"/>
    <mergeCell ref="A61:B61"/>
    <mergeCell ref="A13:B14"/>
    <mergeCell ref="G27:L30"/>
    <mergeCell ref="I21:L22"/>
    <mergeCell ref="C25:C26"/>
    <mergeCell ref="A19:B20"/>
    <mergeCell ref="J13:L14"/>
    <mergeCell ref="G23:H24"/>
    <mergeCell ref="A21:B22"/>
    <mergeCell ref="D69:H70"/>
    <mergeCell ref="A53:B53"/>
    <mergeCell ref="A62:B62"/>
    <mergeCell ref="A39:B39"/>
    <mergeCell ref="A48:B48"/>
    <mergeCell ref="G25:L26"/>
    <mergeCell ref="A59:B59"/>
    <mergeCell ref="A45:B45"/>
    <mergeCell ref="A32:B32"/>
    <mergeCell ref="A50:B50"/>
    <mergeCell ref="A47:B47"/>
    <mergeCell ref="A34:B34"/>
    <mergeCell ref="A49:B49"/>
    <mergeCell ref="A36:B36"/>
    <mergeCell ref="A64:B64"/>
    <mergeCell ref="A63:B63"/>
    <mergeCell ref="I69:L70"/>
    <mergeCell ref="A67:C68"/>
    <mergeCell ref="A69:C70"/>
    <mergeCell ref="A9:B10"/>
    <mergeCell ref="E25:F26"/>
    <mergeCell ref="A55:B55"/>
    <mergeCell ref="I67:L68"/>
    <mergeCell ref="E21:F22"/>
    <mergeCell ref="C23:C24"/>
    <mergeCell ref="G21:H22"/>
    <mergeCell ref="A57:B57"/>
    <mergeCell ref="A65:L66"/>
    <mergeCell ref="E13:F14"/>
    <mergeCell ref="G15:I16"/>
    <mergeCell ref="A38:B38"/>
    <mergeCell ref="A43:B43"/>
    <mergeCell ref="E23:F24"/>
    <mergeCell ref="A40:B40"/>
    <mergeCell ref="A60:B60"/>
    <mergeCell ref="A23:B26"/>
    <mergeCell ref="A17:B18"/>
    <mergeCell ref="C11:C12"/>
    <mergeCell ref="I17:L18"/>
    <mergeCell ref="A51:B51"/>
    <mergeCell ref="D21:D22"/>
    <mergeCell ref="D67:H68"/>
    <mergeCell ref="A56:B56"/>
    <mergeCell ref="E7:H8"/>
    <mergeCell ref="A3:L4"/>
    <mergeCell ref="C13:C14"/>
    <mergeCell ref="D19:D20"/>
    <mergeCell ref="A5:L6"/>
    <mergeCell ref="C15:C16"/>
    <mergeCell ref="A44:B44"/>
    <mergeCell ref="A29:C30"/>
    <mergeCell ref="A58:B58"/>
    <mergeCell ref="A15:B16"/>
    <mergeCell ref="D27:F30"/>
    <mergeCell ref="E15:F16"/>
    <mergeCell ref="D17:D18"/>
    <mergeCell ref="D11:D12"/>
    <mergeCell ref="J15:L16"/>
    <mergeCell ref="A11:B12"/>
    <mergeCell ref="E19:F20"/>
    <mergeCell ref="D23:D24"/>
    <mergeCell ref="G19:H20"/>
    <mergeCell ref="E9:F10"/>
    <mergeCell ref="G9:I10"/>
    <mergeCell ref="E11:F12"/>
    <mergeCell ref="G11:I12"/>
    <mergeCell ref="C9:C10"/>
  </mergeCells>
  <phoneticPr fontId="1" type="noConversion"/>
  <pageMargins left="0.7" right="0.7" top="0.75" bottom="0.75" header="0.3" footer="0.3"/>
  <pageSetup paperSize="9" scale="74" fitToHeight="0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L70"/>
  <sheetViews>
    <sheetView topLeftCell="A17" zoomScale="55" zoomScaleNormal="55" workbookViewId="0">
      <selection activeCell="F46" sqref="F46"/>
    </sheetView>
  </sheetViews>
  <sheetFormatPr defaultRowHeight="13.9" x14ac:dyDescent="0.4"/>
  <cols>
    <col min="1" max="3" width="9.0625" style="3" bestFit="1" customWidth="1"/>
    <col min="4" max="4" width="10.25" style="3" bestFit="1" customWidth="1"/>
    <col min="5" max="12" width="9.0625" style="3" bestFit="1" customWidth="1"/>
    <col min="13" max="16384" width="9" style="3"/>
  </cols>
  <sheetData>
    <row r="1" spans="1:12" x14ac:dyDescent="0.4">
      <c r="A1" s="31">
        <v>1</v>
      </c>
      <c r="B1" s="31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235" t="s">
        <v>111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114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115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f>C64</f>
        <v>0</v>
      </c>
      <c r="D11" s="214">
        <v>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f>D64</f>
        <v>0</v>
      </c>
      <c r="D13" s="214">
        <v>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13000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0</v>
      </c>
      <c r="E19" s="214">
        <f>D19*C19</f>
        <v>0</v>
      </c>
      <c r="F19" s="146"/>
      <c r="G19" s="214" t="s">
        <v>16</v>
      </c>
      <c r="H19" s="146"/>
      <c r="I19" s="223"/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0</v>
      </c>
      <c r="E21" s="214">
        <f>D21*C21</f>
        <v>0</v>
      </c>
      <c r="F21" s="146"/>
      <c r="G21" s="214" t="s">
        <v>18</v>
      </c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F64</f>
        <v>0</v>
      </c>
      <c r="D25" s="229">
        <v>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I17+I19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6" t="s">
        <v>9</v>
      </c>
      <c r="D32" s="7" t="s">
        <v>219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42"/>
      <c r="K33" s="42"/>
      <c r="L33" s="53">
        <f t="shared" ref="L33:L63" si="0">E33*13000</f>
        <v>0</v>
      </c>
    </row>
    <row r="34" spans="1:12" x14ac:dyDescent="0.4">
      <c r="A34" s="215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42"/>
      <c r="K47" s="42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42"/>
      <c r="K48" s="42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42"/>
      <c r="K49" s="42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42"/>
      <c r="K50" s="42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42"/>
      <c r="K51" s="42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42"/>
      <c r="K52" s="42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42"/>
      <c r="K53" s="42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42"/>
      <c r="K54" s="42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74">
        <f t="shared" ref="C64:I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89">
        <f t="shared" ref="J64:L64" si="2">SUM(J33:J63)</f>
        <v>0</v>
      </c>
      <c r="K64" s="89">
        <f t="shared" si="2"/>
        <v>0</v>
      </c>
      <c r="L64" s="98">
        <f t="shared" si="2"/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 t="s">
        <v>116</v>
      </c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I7:L8"/>
    <mergeCell ref="A54:B54"/>
    <mergeCell ref="A41:B41"/>
    <mergeCell ref="D13:D14"/>
    <mergeCell ref="A46:B46"/>
    <mergeCell ref="A37:B37"/>
    <mergeCell ref="G13:I14"/>
    <mergeCell ref="D9:D10"/>
    <mergeCell ref="C17:C18"/>
    <mergeCell ref="D25:D26"/>
    <mergeCell ref="A31:L31"/>
    <mergeCell ref="A27:C28"/>
    <mergeCell ref="I23:L24"/>
    <mergeCell ref="E17:F18"/>
    <mergeCell ref="C19:C20"/>
    <mergeCell ref="G17:H18"/>
    <mergeCell ref="A52:B52"/>
    <mergeCell ref="A7:D8"/>
    <mergeCell ref="C21:C22"/>
    <mergeCell ref="J9:L10"/>
    <mergeCell ref="D15:D16"/>
    <mergeCell ref="J11:L12"/>
    <mergeCell ref="A33:B33"/>
    <mergeCell ref="A42:B42"/>
    <mergeCell ref="I19:L20"/>
    <mergeCell ref="A35:B35"/>
    <mergeCell ref="A61:B61"/>
    <mergeCell ref="A13:B14"/>
    <mergeCell ref="G27:L30"/>
    <mergeCell ref="I21:L22"/>
    <mergeCell ref="C25:C26"/>
    <mergeCell ref="A19:B20"/>
    <mergeCell ref="J13:L14"/>
    <mergeCell ref="G23:H24"/>
    <mergeCell ref="A21:B22"/>
    <mergeCell ref="D69:H70"/>
    <mergeCell ref="A53:B53"/>
    <mergeCell ref="A62:B62"/>
    <mergeCell ref="A39:B39"/>
    <mergeCell ref="A48:B48"/>
    <mergeCell ref="G25:L26"/>
    <mergeCell ref="A59:B59"/>
    <mergeCell ref="A45:B45"/>
    <mergeCell ref="A32:B32"/>
    <mergeCell ref="A50:B50"/>
    <mergeCell ref="A47:B47"/>
    <mergeCell ref="A34:B34"/>
    <mergeCell ref="A49:B49"/>
    <mergeCell ref="A36:B36"/>
    <mergeCell ref="A64:B64"/>
    <mergeCell ref="A63:B63"/>
    <mergeCell ref="I69:L70"/>
    <mergeCell ref="A67:C68"/>
    <mergeCell ref="A69:C70"/>
    <mergeCell ref="A9:B10"/>
    <mergeCell ref="E25:F26"/>
    <mergeCell ref="A55:B55"/>
    <mergeCell ref="I67:L68"/>
    <mergeCell ref="E21:F22"/>
    <mergeCell ref="C23:C24"/>
    <mergeCell ref="G21:H22"/>
    <mergeCell ref="A57:B57"/>
    <mergeCell ref="A65:L66"/>
    <mergeCell ref="E13:F14"/>
    <mergeCell ref="G15:I16"/>
    <mergeCell ref="A38:B38"/>
    <mergeCell ref="A43:B43"/>
    <mergeCell ref="E23:F24"/>
    <mergeCell ref="A40:B40"/>
    <mergeCell ref="A60:B60"/>
    <mergeCell ref="A23:B26"/>
    <mergeCell ref="A17:B18"/>
    <mergeCell ref="C11:C12"/>
    <mergeCell ref="I17:L18"/>
    <mergeCell ref="A51:B51"/>
    <mergeCell ref="D21:D22"/>
    <mergeCell ref="D67:H68"/>
    <mergeCell ref="A56:B56"/>
    <mergeCell ref="E7:H8"/>
    <mergeCell ref="A3:L4"/>
    <mergeCell ref="C13:C14"/>
    <mergeCell ref="D19:D20"/>
    <mergeCell ref="A5:L6"/>
    <mergeCell ref="C15:C16"/>
    <mergeCell ref="A44:B44"/>
    <mergeCell ref="A29:C30"/>
    <mergeCell ref="A58:B58"/>
    <mergeCell ref="A15:B16"/>
    <mergeCell ref="D27:F30"/>
    <mergeCell ref="E15:F16"/>
    <mergeCell ref="D17:D18"/>
    <mergeCell ref="D11:D12"/>
    <mergeCell ref="J15:L16"/>
    <mergeCell ref="A11:B12"/>
    <mergeCell ref="E19:F20"/>
    <mergeCell ref="D23:D24"/>
    <mergeCell ref="G19:H20"/>
    <mergeCell ref="E9:F10"/>
    <mergeCell ref="G9:I10"/>
    <mergeCell ref="E11:F12"/>
    <mergeCell ref="G11:I12"/>
    <mergeCell ref="C9:C10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L70"/>
  <sheetViews>
    <sheetView zoomScale="46" zoomScaleNormal="55" workbookViewId="0">
      <selection activeCell="C39" sqref="C39"/>
    </sheetView>
  </sheetViews>
  <sheetFormatPr defaultRowHeight="13.9" x14ac:dyDescent="0.4"/>
  <cols>
    <col min="1" max="3" width="9.0625" style="3" bestFit="1" customWidth="1"/>
    <col min="4" max="4" width="9.75" style="3" bestFit="1" customWidth="1"/>
    <col min="5" max="12" width="9.0625" style="3" bestFit="1" customWidth="1"/>
    <col min="13" max="16384" width="9" style="3"/>
  </cols>
  <sheetData>
    <row r="1" spans="1:12" x14ac:dyDescent="0.4">
      <c r="A1" s="31">
        <v>1</v>
      </c>
      <c r="B1" s="31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235" t="s">
        <v>111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211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115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v>0</v>
      </c>
      <c r="D11" s="214">
        <v>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99</v>
      </c>
      <c r="B13" s="146"/>
      <c r="C13" s="214">
        <f>C64</f>
        <v>0</v>
      </c>
      <c r="D13" s="214">
        <v>11000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0</v>
      </c>
      <c r="E19" s="214">
        <f>D19*C19</f>
        <v>0</v>
      </c>
      <c r="F19" s="146"/>
      <c r="G19" s="214" t="s">
        <v>16</v>
      </c>
      <c r="H19" s="146"/>
      <c r="I19" s="223"/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0</v>
      </c>
      <c r="E21" s="214">
        <f>D21*C21</f>
        <v>0</v>
      </c>
      <c r="F21" s="146"/>
      <c r="G21" s="214" t="s">
        <v>18</v>
      </c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D64</f>
        <v>0</v>
      </c>
      <c r="D25" s="229">
        <v>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I17+I19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31" t="s">
        <v>212</v>
      </c>
      <c r="D32" s="44" t="s">
        <v>25</v>
      </c>
      <c r="E32" s="2"/>
      <c r="F32" s="2"/>
      <c r="G32" s="2"/>
      <c r="H32" s="2"/>
      <c r="I32" s="2"/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38"/>
      <c r="D33" s="49"/>
      <c r="E33" s="53"/>
      <c r="F33" s="53"/>
      <c r="G33" s="53"/>
      <c r="H33" s="53"/>
      <c r="I33" s="53"/>
      <c r="J33" s="42"/>
      <c r="K33" s="42"/>
      <c r="L33" s="53">
        <f t="shared" ref="L33:L63" si="0">C33*11000</f>
        <v>0</v>
      </c>
    </row>
    <row r="34" spans="1:12" x14ac:dyDescent="0.4">
      <c r="A34" s="215" t="e">
        <f>#REF!</f>
        <v>#REF!</v>
      </c>
      <c r="B34" s="137"/>
      <c r="C34" s="38"/>
      <c r="D34" s="49"/>
      <c r="E34" s="53"/>
      <c r="F34" s="53"/>
      <c r="G34" s="53"/>
      <c r="H34" s="53"/>
      <c r="I34" s="53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38"/>
      <c r="D35" s="49"/>
      <c r="E35" s="53"/>
      <c r="F35" s="53"/>
      <c r="G35" s="53"/>
      <c r="H35" s="53"/>
      <c r="I35" s="53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38"/>
      <c r="D36" s="49"/>
      <c r="E36" s="53"/>
      <c r="F36" s="53"/>
      <c r="G36" s="53"/>
      <c r="H36" s="53"/>
      <c r="I36" s="53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38"/>
      <c r="D37" s="49"/>
      <c r="E37" s="53"/>
      <c r="F37" s="53"/>
      <c r="G37" s="53"/>
      <c r="H37" s="53"/>
      <c r="I37" s="53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38"/>
      <c r="D38" s="49"/>
      <c r="E38" s="53"/>
      <c r="F38" s="53"/>
      <c r="G38" s="53"/>
      <c r="H38" s="53"/>
      <c r="I38" s="53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38"/>
      <c r="D39" s="49"/>
      <c r="E39" s="53"/>
      <c r="F39" s="53"/>
      <c r="G39" s="53"/>
      <c r="H39" s="53"/>
      <c r="I39" s="53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38"/>
      <c r="D40" s="49"/>
      <c r="E40" s="53"/>
      <c r="F40" s="53"/>
      <c r="G40" s="53"/>
      <c r="H40" s="53"/>
      <c r="I40" s="53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38"/>
      <c r="D41" s="49"/>
      <c r="E41" s="53"/>
      <c r="F41" s="53"/>
      <c r="G41" s="53"/>
      <c r="H41" s="53"/>
      <c r="I41" s="53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38"/>
      <c r="D42" s="49"/>
      <c r="E42" s="53"/>
      <c r="F42" s="53"/>
      <c r="G42" s="53"/>
      <c r="H42" s="53"/>
      <c r="I42" s="53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38"/>
      <c r="D43" s="49"/>
      <c r="E43" s="53"/>
      <c r="F43" s="53"/>
      <c r="G43" s="53"/>
      <c r="H43" s="53"/>
      <c r="I43" s="53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38"/>
      <c r="D44" s="49"/>
      <c r="E44" s="53"/>
      <c r="F44" s="53"/>
      <c r="G44" s="53"/>
      <c r="H44" s="53"/>
      <c r="I44" s="53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38"/>
      <c r="D45" s="49"/>
      <c r="E45" s="53"/>
      <c r="F45" s="53"/>
      <c r="G45" s="53"/>
      <c r="H45" s="53"/>
      <c r="I45" s="53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38"/>
      <c r="D46" s="49"/>
      <c r="E46" s="53"/>
      <c r="F46" s="53"/>
      <c r="G46" s="53"/>
      <c r="H46" s="53"/>
      <c r="I46" s="53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38"/>
      <c r="D47" s="49"/>
      <c r="E47" s="53"/>
      <c r="F47" s="53"/>
      <c r="G47" s="53"/>
      <c r="H47" s="53"/>
      <c r="I47" s="53"/>
      <c r="J47" s="42"/>
      <c r="K47" s="42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38"/>
      <c r="D48" s="49"/>
      <c r="E48" s="53"/>
      <c r="F48" s="53"/>
      <c r="G48" s="53"/>
      <c r="H48" s="53"/>
      <c r="I48" s="53"/>
      <c r="J48" s="42"/>
      <c r="K48" s="42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38"/>
      <c r="D49" s="49"/>
      <c r="E49" s="53"/>
      <c r="F49" s="53"/>
      <c r="G49" s="53"/>
      <c r="H49" s="53"/>
      <c r="I49" s="53"/>
      <c r="J49" s="42"/>
      <c r="K49" s="42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38"/>
      <c r="D50" s="49"/>
      <c r="E50" s="53"/>
      <c r="F50" s="53"/>
      <c r="G50" s="53"/>
      <c r="H50" s="53"/>
      <c r="I50" s="53"/>
      <c r="J50" s="42"/>
      <c r="K50" s="42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38"/>
      <c r="D51" s="49"/>
      <c r="E51" s="53"/>
      <c r="F51" s="53"/>
      <c r="G51" s="53"/>
      <c r="H51" s="53"/>
      <c r="I51" s="53"/>
      <c r="J51" s="42"/>
      <c r="K51" s="42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38"/>
      <c r="D52" s="49"/>
      <c r="E52" s="53"/>
      <c r="F52" s="53"/>
      <c r="G52" s="53"/>
      <c r="H52" s="53"/>
      <c r="I52" s="53"/>
      <c r="J52" s="42"/>
      <c r="K52" s="42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38"/>
      <c r="D53" s="49"/>
      <c r="E53" s="53"/>
      <c r="F53" s="53"/>
      <c r="G53" s="53"/>
      <c r="H53" s="53"/>
      <c r="I53" s="53"/>
      <c r="J53" s="42"/>
      <c r="K53" s="42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38"/>
      <c r="D54" s="49"/>
      <c r="E54" s="53"/>
      <c r="F54" s="53"/>
      <c r="G54" s="53"/>
      <c r="H54" s="53"/>
      <c r="I54" s="53"/>
      <c r="J54" s="42"/>
      <c r="K54" s="42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38"/>
      <c r="D55" s="49"/>
      <c r="E55" s="53"/>
      <c r="F55" s="53"/>
      <c r="G55" s="53"/>
      <c r="H55" s="53"/>
      <c r="I55" s="53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38"/>
      <c r="D56" s="49"/>
      <c r="E56" s="53"/>
      <c r="F56" s="53"/>
      <c r="G56" s="53"/>
      <c r="H56" s="53"/>
      <c r="I56" s="53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38"/>
      <c r="D57" s="49"/>
      <c r="E57" s="53"/>
      <c r="F57" s="53"/>
      <c r="G57" s="53"/>
      <c r="H57" s="53"/>
      <c r="I57" s="53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38"/>
      <c r="D58" s="49"/>
      <c r="E58" s="53"/>
      <c r="F58" s="53"/>
      <c r="G58" s="53"/>
      <c r="H58" s="53"/>
      <c r="I58" s="53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38"/>
      <c r="D59" s="49"/>
      <c r="E59" s="53"/>
      <c r="F59" s="53"/>
      <c r="G59" s="53"/>
      <c r="H59" s="53"/>
      <c r="I59" s="53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38"/>
      <c r="D60" s="49"/>
      <c r="E60" s="53"/>
      <c r="F60" s="53"/>
      <c r="G60" s="53"/>
      <c r="H60" s="53"/>
      <c r="I60" s="53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38"/>
      <c r="D61" s="49"/>
      <c r="E61" s="53"/>
      <c r="F61" s="53"/>
      <c r="G61" s="53"/>
      <c r="H61" s="53"/>
      <c r="I61" s="53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38"/>
      <c r="D62" s="49"/>
      <c r="E62" s="53"/>
      <c r="F62" s="53"/>
      <c r="G62" s="53"/>
      <c r="H62" s="53"/>
      <c r="I62" s="53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38"/>
      <c r="D63" s="49"/>
      <c r="E63" s="53"/>
      <c r="F63" s="53"/>
      <c r="G63" s="53"/>
      <c r="H63" s="53"/>
      <c r="I63" s="53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85">
        <f>SUM(C33:C63)</f>
        <v>0</v>
      </c>
      <c r="D64" s="91">
        <f>SUM(D33:D63)</f>
        <v>0</v>
      </c>
      <c r="E64" s="89"/>
      <c r="F64" s="89"/>
      <c r="G64" s="89"/>
      <c r="H64" s="89"/>
      <c r="I64" s="89"/>
      <c r="J64" s="89"/>
      <c r="K64" s="89"/>
      <c r="L64" s="98">
        <f>SUM(L33:L63)</f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 t="s">
        <v>117</v>
      </c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I7:L8"/>
    <mergeCell ref="A54:B54"/>
    <mergeCell ref="A41:B41"/>
    <mergeCell ref="D13:D14"/>
    <mergeCell ref="A46:B46"/>
    <mergeCell ref="A37:B37"/>
    <mergeCell ref="G13:I14"/>
    <mergeCell ref="D9:D10"/>
    <mergeCell ref="C17:C18"/>
    <mergeCell ref="D25:D26"/>
    <mergeCell ref="A31:L31"/>
    <mergeCell ref="A27:C28"/>
    <mergeCell ref="I23:L24"/>
    <mergeCell ref="E17:F18"/>
    <mergeCell ref="C19:C20"/>
    <mergeCell ref="G17:H18"/>
    <mergeCell ref="A52:B52"/>
    <mergeCell ref="A7:D8"/>
    <mergeCell ref="C21:C22"/>
    <mergeCell ref="J9:L10"/>
    <mergeCell ref="D15:D16"/>
    <mergeCell ref="J11:L12"/>
    <mergeCell ref="A33:B33"/>
    <mergeCell ref="A42:B42"/>
    <mergeCell ref="I19:L20"/>
    <mergeCell ref="A35:B35"/>
    <mergeCell ref="A61:B61"/>
    <mergeCell ref="A13:B14"/>
    <mergeCell ref="G27:L30"/>
    <mergeCell ref="I21:L22"/>
    <mergeCell ref="C25:C26"/>
    <mergeCell ref="A19:B20"/>
    <mergeCell ref="J13:L14"/>
    <mergeCell ref="G23:H24"/>
    <mergeCell ref="A21:B22"/>
    <mergeCell ref="D69:H70"/>
    <mergeCell ref="A53:B53"/>
    <mergeCell ref="A62:B62"/>
    <mergeCell ref="A39:B39"/>
    <mergeCell ref="A48:B48"/>
    <mergeCell ref="G25:L26"/>
    <mergeCell ref="A59:B59"/>
    <mergeCell ref="A45:B45"/>
    <mergeCell ref="A32:B32"/>
    <mergeCell ref="A50:B50"/>
    <mergeCell ref="A47:B47"/>
    <mergeCell ref="A34:B34"/>
    <mergeCell ref="A49:B49"/>
    <mergeCell ref="A36:B36"/>
    <mergeCell ref="A64:B64"/>
    <mergeCell ref="A63:B63"/>
    <mergeCell ref="I69:L70"/>
    <mergeCell ref="A67:C68"/>
    <mergeCell ref="A69:C70"/>
    <mergeCell ref="A9:B10"/>
    <mergeCell ref="E25:F26"/>
    <mergeCell ref="A55:B55"/>
    <mergeCell ref="I67:L68"/>
    <mergeCell ref="E21:F22"/>
    <mergeCell ref="C23:C24"/>
    <mergeCell ref="G21:H22"/>
    <mergeCell ref="A57:B57"/>
    <mergeCell ref="A65:L66"/>
    <mergeCell ref="E13:F14"/>
    <mergeCell ref="G15:I16"/>
    <mergeCell ref="A38:B38"/>
    <mergeCell ref="A43:B43"/>
    <mergeCell ref="E23:F24"/>
    <mergeCell ref="A40:B40"/>
    <mergeCell ref="A60:B60"/>
    <mergeCell ref="A23:B26"/>
    <mergeCell ref="A17:B18"/>
    <mergeCell ref="C11:C12"/>
    <mergeCell ref="I17:L18"/>
    <mergeCell ref="A51:B51"/>
    <mergeCell ref="D21:D22"/>
    <mergeCell ref="D67:H68"/>
    <mergeCell ref="A56:B56"/>
    <mergeCell ref="E7:H8"/>
    <mergeCell ref="A3:L4"/>
    <mergeCell ref="C13:C14"/>
    <mergeCell ref="D19:D20"/>
    <mergeCell ref="A5:L6"/>
    <mergeCell ref="C15:C16"/>
    <mergeCell ref="A44:B44"/>
    <mergeCell ref="A29:C30"/>
    <mergeCell ref="A58:B58"/>
    <mergeCell ref="A15:B16"/>
    <mergeCell ref="D27:F30"/>
    <mergeCell ref="E15:F16"/>
    <mergeCell ref="D17:D18"/>
    <mergeCell ref="D11:D12"/>
    <mergeCell ref="J15:L16"/>
    <mergeCell ref="A11:B12"/>
    <mergeCell ref="E19:F20"/>
    <mergeCell ref="D23:D24"/>
    <mergeCell ref="G19:H20"/>
    <mergeCell ref="E9:F10"/>
    <mergeCell ref="G9:I10"/>
    <mergeCell ref="E11:F12"/>
    <mergeCell ref="G11:I12"/>
    <mergeCell ref="C9:C10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L70"/>
  <sheetViews>
    <sheetView topLeftCell="A14" zoomScale="55" zoomScaleNormal="55" workbookViewId="0">
      <selection activeCell="E39" sqref="E39"/>
    </sheetView>
  </sheetViews>
  <sheetFormatPr defaultRowHeight="13.9" x14ac:dyDescent="0.4"/>
  <cols>
    <col min="1" max="3" width="9.0625" style="3" bestFit="1" customWidth="1"/>
    <col min="4" max="4" width="10.25" style="3" bestFit="1" customWidth="1"/>
    <col min="5" max="12" width="9.0625" style="3" bestFit="1" customWidth="1"/>
    <col min="13" max="16384" width="9" style="3"/>
  </cols>
  <sheetData>
    <row r="1" spans="1:12" x14ac:dyDescent="0.4">
      <c r="A1" s="31">
        <v>1</v>
      </c>
      <c r="B1" s="31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235" t="s">
        <v>111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118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111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f>C64</f>
        <v>0</v>
      </c>
      <c r="D11" s="214">
        <v>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f>D64</f>
        <v>0</v>
      </c>
      <c r="D13" s="214">
        <v>12000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0</v>
      </c>
      <c r="E19" s="214">
        <f>D19*C19</f>
        <v>0</v>
      </c>
      <c r="F19" s="146"/>
      <c r="G19" s="214" t="s">
        <v>16</v>
      </c>
      <c r="H19" s="146"/>
      <c r="I19" s="223">
        <v>0</v>
      </c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0</v>
      </c>
      <c r="E21" s="214">
        <f>D21*C21</f>
        <v>0</v>
      </c>
      <c r="F21" s="146"/>
      <c r="G21" s="214" t="s">
        <v>18</v>
      </c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F64</f>
        <v>0</v>
      </c>
      <c r="D25" s="229">
        <v>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I17+I19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6" t="s">
        <v>9</v>
      </c>
      <c r="D32" s="7" t="s">
        <v>219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42"/>
      <c r="K33" s="42"/>
      <c r="L33" s="53">
        <f t="shared" ref="L33:L63" si="0">D33*12000</f>
        <v>0</v>
      </c>
    </row>
    <row r="34" spans="1:12" x14ac:dyDescent="0.4">
      <c r="A34" s="215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42"/>
      <c r="K47" s="42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42"/>
      <c r="K48" s="42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42"/>
      <c r="K49" s="42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42"/>
      <c r="K50" s="42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42"/>
      <c r="K51" s="42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42"/>
      <c r="K52" s="42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42"/>
      <c r="K53" s="42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42"/>
      <c r="K54" s="42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74">
        <f t="shared" ref="C64:I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89">
        <f t="shared" ref="J64:L64" si="2">SUM(J33:J63)</f>
        <v>0</v>
      </c>
      <c r="K64" s="89">
        <f t="shared" si="2"/>
        <v>0</v>
      </c>
      <c r="L64" s="98">
        <f t="shared" si="2"/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 t="s">
        <v>119</v>
      </c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I7:L8"/>
    <mergeCell ref="A54:B54"/>
    <mergeCell ref="A41:B41"/>
    <mergeCell ref="D13:D14"/>
    <mergeCell ref="A46:B46"/>
    <mergeCell ref="A37:B37"/>
    <mergeCell ref="G13:I14"/>
    <mergeCell ref="D9:D10"/>
    <mergeCell ref="C17:C18"/>
    <mergeCell ref="D25:D26"/>
    <mergeCell ref="A31:L31"/>
    <mergeCell ref="A27:C28"/>
    <mergeCell ref="I23:L24"/>
    <mergeCell ref="E17:F18"/>
    <mergeCell ref="C19:C20"/>
    <mergeCell ref="G17:H18"/>
    <mergeCell ref="A52:B52"/>
    <mergeCell ref="A7:D8"/>
    <mergeCell ref="C21:C22"/>
    <mergeCell ref="J9:L10"/>
    <mergeCell ref="D15:D16"/>
    <mergeCell ref="J11:L12"/>
    <mergeCell ref="A33:B33"/>
    <mergeCell ref="A42:B42"/>
    <mergeCell ref="I19:L20"/>
    <mergeCell ref="A35:B35"/>
    <mergeCell ref="A61:B61"/>
    <mergeCell ref="A13:B14"/>
    <mergeCell ref="G27:L30"/>
    <mergeCell ref="I21:L22"/>
    <mergeCell ref="C25:C26"/>
    <mergeCell ref="A19:B20"/>
    <mergeCell ref="J13:L14"/>
    <mergeCell ref="G23:H24"/>
    <mergeCell ref="A21:B22"/>
    <mergeCell ref="D69:H70"/>
    <mergeCell ref="A53:B53"/>
    <mergeCell ref="A62:B62"/>
    <mergeCell ref="A39:B39"/>
    <mergeCell ref="A48:B48"/>
    <mergeCell ref="G25:L26"/>
    <mergeCell ref="A59:B59"/>
    <mergeCell ref="A45:B45"/>
    <mergeCell ref="A32:B32"/>
    <mergeCell ref="A50:B50"/>
    <mergeCell ref="A47:B47"/>
    <mergeCell ref="A34:B34"/>
    <mergeCell ref="A49:B49"/>
    <mergeCell ref="A36:B36"/>
    <mergeCell ref="A64:B64"/>
    <mergeCell ref="A63:B63"/>
    <mergeCell ref="I69:L70"/>
    <mergeCell ref="A67:C68"/>
    <mergeCell ref="A69:C70"/>
    <mergeCell ref="A9:B10"/>
    <mergeCell ref="E25:F26"/>
    <mergeCell ref="A55:B55"/>
    <mergeCell ref="I67:L68"/>
    <mergeCell ref="E21:F22"/>
    <mergeCell ref="C23:C24"/>
    <mergeCell ref="G21:H22"/>
    <mergeCell ref="A57:B57"/>
    <mergeCell ref="A65:L66"/>
    <mergeCell ref="E13:F14"/>
    <mergeCell ref="G15:I16"/>
    <mergeCell ref="A38:B38"/>
    <mergeCell ref="A43:B43"/>
    <mergeCell ref="E23:F24"/>
    <mergeCell ref="A40:B40"/>
    <mergeCell ref="A60:B60"/>
    <mergeCell ref="A23:B26"/>
    <mergeCell ref="A17:B18"/>
    <mergeCell ref="C11:C12"/>
    <mergeCell ref="I17:L18"/>
    <mergeCell ref="A51:B51"/>
    <mergeCell ref="D21:D22"/>
    <mergeCell ref="D67:H68"/>
    <mergeCell ref="A56:B56"/>
    <mergeCell ref="E7:H8"/>
    <mergeCell ref="A3:L4"/>
    <mergeCell ref="C13:C14"/>
    <mergeCell ref="D19:D20"/>
    <mergeCell ref="A5:L6"/>
    <mergeCell ref="C15:C16"/>
    <mergeCell ref="A44:B44"/>
    <mergeCell ref="A29:C30"/>
    <mergeCell ref="A58:B58"/>
    <mergeCell ref="A15:B16"/>
    <mergeCell ref="D27:F30"/>
    <mergeCell ref="E15:F16"/>
    <mergeCell ref="D17:D18"/>
    <mergeCell ref="D11:D12"/>
    <mergeCell ref="J15:L16"/>
    <mergeCell ref="A11:B12"/>
    <mergeCell ref="E19:F20"/>
    <mergeCell ref="D23:D24"/>
    <mergeCell ref="G19:H20"/>
    <mergeCell ref="E9:F10"/>
    <mergeCell ref="G9:I10"/>
    <mergeCell ref="E11:F12"/>
    <mergeCell ref="G11:I12"/>
    <mergeCell ref="C9:C10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L70"/>
  <sheetViews>
    <sheetView topLeftCell="A4" zoomScale="55" zoomScaleNormal="55" workbookViewId="0">
      <selection activeCell="C15" sqref="C15:C16"/>
    </sheetView>
  </sheetViews>
  <sheetFormatPr defaultRowHeight="13.9" x14ac:dyDescent="0.4"/>
  <cols>
    <col min="1" max="3" width="9.0625" style="3" bestFit="1" customWidth="1"/>
    <col min="4" max="4" width="9.75" style="3" bestFit="1" customWidth="1"/>
    <col min="5" max="12" width="9.0625" style="3" bestFit="1" customWidth="1"/>
    <col min="13" max="16384" width="9" style="3"/>
  </cols>
  <sheetData>
    <row r="1" spans="1:12" x14ac:dyDescent="0.4">
      <c r="A1" s="31">
        <v>1</v>
      </c>
      <c r="B1" s="31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235" t="s">
        <v>111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120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115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v>0</v>
      </c>
      <c r="D11" s="214">
        <v>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f>D64</f>
        <v>0</v>
      </c>
      <c r="D13" s="214">
        <v>11000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0</v>
      </c>
      <c r="E19" s="214">
        <f>D19*C19</f>
        <v>0</v>
      </c>
      <c r="F19" s="146"/>
      <c r="G19" s="214" t="s">
        <v>16</v>
      </c>
      <c r="H19" s="146"/>
      <c r="I19" s="223"/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0</v>
      </c>
      <c r="E21" s="214">
        <f>D21*C21</f>
        <v>0</v>
      </c>
      <c r="F21" s="146"/>
      <c r="G21" s="214" t="s">
        <v>18</v>
      </c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D64</f>
        <v>0</v>
      </c>
      <c r="D25" s="229">
        <v>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I17+I19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6" t="s">
        <v>9</v>
      </c>
      <c r="D32" s="7" t="s">
        <v>219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42"/>
      <c r="K33" s="42"/>
      <c r="L33" s="53">
        <f t="shared" ref="L33:L63" si="0">D33*11000</f>
        <v>0</v>
      </c>
    </row>
    <row r="34" spans="1:12" x14ac:dyDescent="0.4">
      <c r="A34" s="215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42"/>
      <c r="K47" s="42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42"/>
      <c r="K48" s="42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42"/>
      <c r="K49" s="42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42"/>
      <c r="K50" s="42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42"/>
      <c r="K51" s="42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42"/>
      <c r="K52" s="42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42"/>
      <c r="K53" s="42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42"/>
      <c r="K54" s="42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74">
        <f t="shared" ref="C64:I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89"/>
      <c r="K64" s="89"/>
      <c r="L64" s="98">
        <f>SUM(L33:L63)</f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 t="s">
        <v>121</v>
      </c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I7:L8"/>
    <mergeCell ref="A54:B54"/>
    <mergeCell ref="A41:B41"/>
    <mergeCell ref="D13:D14"/>
    <mergeCell ref="A46:B46"/>
    <mergeCell ref="A37:B37"/>
    <mergeCell ref="G13:I14"/>
    <mergeCell ref="D9:D10"/>
    <mergeCell ref="C17:C18"/>
    <mergeCell ref="D25:D26"/>
    <mergeCell ref="A31:L31"/>
    <mergeCell ref="A27:C28"/>
    <mergeCell ref="I23:L24"/>
    <mergeCell ref="E17:F18"/>
    <mergeCell ref="C19:C20"/>
    <mergeCell ref="G17:H18"/>
    <mergeCell ref="A52:B52"/>
    <mergeCell ref="A7:D8"/>
    <mergeCell ref="C21:C22"/>
    <mergeCell ref="J9:L10"/>
    <mergeCell ref="D15:D16"/>
    <mergeCell ref="J11:L12"/>
    <mergeCell ref="A33:B33"/>
    <mergeCell ref="A42:B42"/>
    <mergeCell ref="I19:L20"/>
    <mergeCell ref="A35:B35"/>
    <mergeCell ref="A61:B61"/>
    <mergeCell ref="A13:B14"/>
    <mergeCell ref="G27:L30"/>
    <mergeCell ref="I21:L22"/>
    <mergeCell ref="C25:C26"/>
    <mergeCell ref="A19:B20"/>
    <mergeCell ref="J13:L14"/>
    <mergeCell ref="G23:H24"/>
    <mergeCell ref="A21:B22"/>
    <mergeCell ref="D69:H70"/>
    <mergeCell ref="A53:B53"/>
    <mergeCell ref="A62:B62"/>
    <mergeCell ref="A39:B39"/>
    <mergeCell ref="A48:B48"/>
    <mergeCell ref="G25:L26"/>
    <mergeCell ref="A59:B59"/>
    <mergeCell ref="A45:B45"/>
    <mergeCell ref="A32:B32"/>
    <mergeCell ref="A50:B50"/>
    <mergeCell ref="A47:B47"/>
    <mergeCell ref="A34:B34"/>
    <mergeCell ref="A49:B49"/>
    <mergeCell ref="A36:B36"/>
    <mergeCell ref="A64:B64"/>
    <mergeCell ref="A63:B63"/>
    <mergeCell ref="I69:L70"/>
    <mergeCell ref="A67:C68"/>
    <mergeCell ref="A69:C70"/>
    <mergeCell ref="A9:B10"/>
    <mergeCell ref="E25:F26"/>
    <mergeCell ref="A55:B55"/>
    <mergeCell ref="I67:L68"/>
    <mergeCell ref="E21:F22"/>
    <mergeCell ref="C23:C24"/>
    <mergeCell ref="G21:H22"/>
    <mergeCell ref="A57:B57"/>
    <mergeCell ref="A65:L66"/>
    <mergeCell ref="E13:F14"/>
    <mergeCell ref="G15:I16"/>
    <mergeCell ref="A38:B38"/>
    <mergeCell ref="A43:B43"/>
    <mergeCell ref="E23:F24"/>
    <mergeCell ref="A40:B40"/>
    <mergeCell ref="A60:B60"/>
    <mergeCell ref="A23:B26"/>
    <mergeCell ref="A17:B18"/>
    <mergeCell ref="C11:C12"/>
    <mergeCell ref="I17:L18"/>
    <mergeCell ref="A51:B51"/>
    <mergeCell ref="D21:D22"/>
    <mergeCell ref="D67:H68"/>
    <mergeCell ref="A56:B56"/>
    <mergeCell ref="E7:H8"/>
    <mergeCell ref="A3:L4"/>
    <mergeCell ref="C13:C14"/>
    <mergeCell ref="D19:D20"/>
    <mergeCell ref="A5:L6"/>
    <mergeCell ref="C15:C16"/>
    <mergeCell ref="A44:B44"/>
    <mergeCell ref="A29:C30"/>
    <mergeCell ref="A58:B58"/>
    <mergeCell ref="A15:B16"/>
    <mergeCell ref="D27:F30"/>
    <mergeCell ref="E15:F16"/>
    <mergeCell ref="D17:D18"/>
    <mergeCell ref="D11:D12"/>
    <mergeCell ref="J15:L16"/>
    <mergeCell ref="A11:B12"/>
    <mergeCell ref="E19:F20"/>
    <mergeCell ref="D23:D24"/>
    <mergeCell ref="G19:H20"/>
    <mergeCell ref="E9:F10"/>
    <mergeCell ref="G9:I10"/>
    <mergeCell ref="E11:F12"/>
    <mergeCell ref="G11:I12"/>
    <mergeCell ref="C9:C10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L70"/>
  <sheetViews>
    <sheetView topLeftCell="A3" zoomScale="55" zoomScaleNormal="55" workbookViewId="0">
      <selection activeCell="C15" sqref="C15:C16"/>
    </sheetView>
  </sheetViews>
  <sheetFormatPr defaultRowHeight="13.9" x14ac:dyDescent="0.4"/>
  <cols>
    <col min="1" max="3" width="9.0625" style="3" bestFit="1" customWidth="1"/>
    <col min="4" max="4" width="9.75" style="3" bestFit="1" customWidth="1"/>
    <col min="5" max="12" width="9.0625" style="3" bestFit="1" customWidth="1"/>
    <col min="13" max="16384" width="9" style="3"/>
  </cols>
  <sheetData>
    <row r="1" spans="1:12" x14ac:dyDescent="0.4">
      <c r="A1" s="31">
        <v>1</v>
      </c>
      <c r="B1" s="31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235" t="s">
        <v>111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122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115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v>0</v>
      </c>
      <c r="D11" s="214">
        <v>0</v>
      </c>
      <c r="E11" s="214">
        <f>D11*C11</f>
        <v>0</v>
      </c>
      <c r="F11" s="146"/>
      <c r="G11" s="214" t="s">
        <v>10</v>
      </c>
      <c r="H11" s="151"/>
      <c r="I11" s="146"/>
      <c r="J11" s="223">
        <f>C25-C13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f>D64</f>
        <v>0</v>
      </c>
      <c r="D13" s="214">
        <v>11000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0</v>
      </c>
      <c r="E19" s="214">
        <f>D19*C19</f>
        <v>0</v>
      </c>
      <c r="F19" s="146"/>
      <c r="G19" s="214" t="s">
        <v>16</v>
      </c>
      <c r="H19" s="146"/>
      <c r="I19" s="223"/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0</v>
      </c>
      <c r="E21" s="214">
        <f>D21*C21</f>
        <v>0</v>
      </c>
      <c r="F21" s="146"/>
      <c r="G21" s="214" t="s">
        <v>18</v>
      </c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D64</f>
        <v>0</v>
      </c>
      <c r="D25" s="229">
        <v>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I17+I19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6" t="s">
        <v>9</v>
      </c>
      <c r="D32" s="7" t="s">
        <v>219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42"/>
      <c r="K33" s="42"/>
      <c r="L33" s="53">
        <f t="shared" ref="L33:L63" si="0">D33*11000</f>
        <v>0</v>
      </c>
    </row>
    <row r="34" spans="1:12" x14ac:dyDescent="0.4">
      <c r="A34" s="215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42"/>
      <c r="K47" s="42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42"/>
      <c r="K48" s="42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42"/>
      <c r="K49" s="42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42"/>
      <c r="K50" s="42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42"/>
      <c r="K51" s="42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42"/>
      <c r="K52" s="42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42"/>
      <c r="K53" s="42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42"/>
      <c r="K54" s="42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74">
        <f t="shared" ref="C64:I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89"/>
      <c r="K64" s="89"/>
      <c r="L64" s="98">
        <f>SUM(L33:L63)</f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 t="s">
        <v>123</v>
      </c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I7:L8"/>
    <mergeCell ref="A54:B54"/>
    <mergeCell ref="A41:B41"/>
    <mergeCell ref="D13:D14"/>
    <mergeCell ref="A46:B46"/>
    <mergeCell ref="A37:B37"/>
    <mergeCell ref="G13:I14"/>
    <mergeCell ref="D9:D10"/>
    <mergeCell ref="C17:C18"/>
    <mergeCell ref="D25:D26"/>
    <mergeCell ref="A31:L31"/>
    <mergeCell ref="A27:C28"/>
    <mergeCell ref="I23:L24"/>
    <mergeCell ref="E17:F18"/>
    <mergeCell ref="C19:C20"/>
    <mergeCell ref="G17:H18"/>
    <mergeCell ref="A52:B52"/>
    <mergeCell ref="A7:D8"/>
    <mergeCell ref="C21:C22"/>
    <mergeCell ref="J9:L10"/>
    <mergeCell ref="D15:D16"/>
    <mergeCell ref="J11:L12"/>
    <mergeCell ref="A33:B33"/>
    <mergeCell ref="A42:B42"/>
    <mergeCell ref="I19:L20"/>
    <mergeCell ref="A35:B35"/>
    <mergeCell ref="A61:B61"/>
    <mergeCell ref="A13:B14"/>
    <mergeCell ref="G27:L30"/>
    <mergeCell ref="I21:L22"/>
    <mergeCell ref="C25:C26"/>
    <mergeCell ref="A19:B20"/>
    <mergeCell ref="J13:L14"/>
    <mergeCell ref="G23:H24"/>
    <mergeCell ref="A21:B22"/>
    <mergeCell ref="D69:H70"/>
    <mergeCell ref="A53:B53"/>
    <mergeCell ref="A62:B62"/>
    <mergeCell ref="A39:B39"/>
    <mergeCell ref="A48:B48"/>
    <mergeCell ref="G25:L26"/>
    <mergeCell ref="A59:B59"/>
    <mergeCell ref="A45:B45"/>
    <mergeCell ref="A32:B32"/>
    <mergeCell ref="A50:B50"/>
    <mergeCell ref="A47:B47"/>
    <mergeCell ref="A34:B34"/>
    <mergeCell ref="A49:B49"/>
    <mergeCell ref="A36:B36"/>
    <mergeCell ref="A64:B64"/>
    <mergeCell ref="A63:B63"/>
    <mergeCell ref="I69:L70"/>
    <mergeCell ref="A67:C68"/>
    <mergeCell ref="A69:C70"/>
    <mergeCell ref="A9:B10"/>
    <mergeCell ref="E25:F26"/>
    <mergeCell ref="A55:B55"/>
    <mergeCell ref="I67:L68"/>
    <mergeCell ref="E21:F22"/>
    <mergeCell ref="C23:C24"/>
    <mergeCell ref="G21:H22"/>
    <mergeCell ref="A57:B57"/>
    <mergeCell ref="A65:L66"/>
    <mergeCell ref="E13:F14"/>
    <mergeCell ref="G15:I16"/>
    <mergeCell ref="A38:B38"/>
    <mergeCell ref="A43:B43"/>
    <mergeCell ref="E23:F24"/>
    <mergeCell ref="A40:B40"/>
    <mergeCell ref="A60:B60"/>
    <mergeCell ref="A23:B26"/>
    <mergeCell ref="A17:B18"/>
    <mergeCell ref="C11:C12"/>
    <mergeCell ref="I17:L18"/>
    <mergeCell ref="A51:B51"/>
    <mergeCell ref="D21:D22"/>
    <mergeCell ref="D67:H68"/>
    <mergeCell ref="A56:B56"/>
    <mergeCell ref="E7:H8"/>
    <mergeCell ref="A3:L4"/>
    <mergeCell ref="C13:C14"/>
    <mergeCell ref="D19:D20"/>
    <mergeCell ref="A5:L6"/>
    <mergeCell ref="C15:C16"/>
    <mergeCell ref="A44:B44"/>
    <mergeCell ref="A29:C30"/>
    <mergeCell ref="A58:B58"/>
    <mergeCell ref="A15:B16"/>
    <mergeCell ref="D27:F30"/>
    <mergeCell ref="E15:F16"/>
    <mergeCell ref="D17:D18"/>
    <mergeCell ref="D11:D12"/>
    <mergeCell ref="J15:L16"/>
    <mergeCell ref="A11:B12"/>
    <mergeCell ref="E19:F20"/>
    <mergeCell ref="D23:D24"/>
    <mergeCell ref="G19:H20"/>
    <mergeCell ref="E9:F10"/>
    <mergeCell ref="G9:I10"/>
    <mergeCell ref="E11:F12"/>
    <mergeCell ref="G11:I12"/>
    <mergeCell ref="C9:C10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L70"/>
  <sheetViews>
    <sheetView topLeftCell="A5" zoomScale="55" zoomScaleNormal="55" workbookViewId="0">
      <selection activeCell="D40" sqref="D40"/>
    </sheetView>
  </sheetViews>
  <sheetFormatPr defaultRowHeight="13.9" x14ac:dyDescent="0.4"/>
  <cols>
    <col min="1" max="3" width="9.0625" style="3" bestFit="1" customWidth="1"/>
    <col min="4" max="4" width="9.75" style="3" bestFit="1" customWidth="1"/>
    <col min="5" max="12" width="9.0625" style="3" bestFit="1" customWidth="1"/>
    <col min="13" max="16384" width="9" style="3"/>
  </cols>
  <sheetData>
    <row r="1" spans="1:12" x14ac:dyDescent="0.4">
      <c r="A1" s="31">
        <v>1</v>
      </c>
      <c r="B1" s="31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235" t="s">
        <v>48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124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115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/>
      <c r="D11" s="214">
        <v>0</v>
      </c>
      <c r="E11" s="214">
        <f>D11*C11</f>
        <v>0</v>
      </c>
      <c r="F11" s="146"/>
      <c r="G11" s="214" t="s">
        <v>10</v>
      </c>
      <c r="H11" s="151"/>
      <c r="I11" s="146"/>
      <c r="J11" s="223">
        <f>C25-C13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f>D64</f>
        <v>0</v>
      </c>
      <c r="D13" s="214">
        <v>11000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0</v>
      </c>
      <c r="E19" s="214">
        <f>D19*C19</f>
        <v>0</v>
      </c>
      <c r="F19" s="146"/>
      <c r="G19" s="214" t="s">
        <v>16</v>
      </c>
      <c r="H19" s="146"/>
      <c r="I19" s="223"/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0</v>
      </c>
      <c r="E21" s="214">
        <f>D21*C21</f>
        <v>0</v>
      </c>
      <c r="F21" s="146"/>
      <c r="G21" s="214" t="s">
        <v>18</v>
      </c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D64</f>
        <v>0</v>
      </c>
      <c r="D25" s="229">
        <v>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I17+I19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6" t="s">
        <v>9</v>
      </c>
      <c r="D32" s="7" t="s">
        <v>219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42"/>
      <c r="K33" s="42"/>
      <c r="L33" s="53">
        <f t="shared" ref="L33:L63" si="0">D33*11000</f>
        <v>0</v>
      </c>
    </row>
    <row r="34" spans="1:12" x14ac:dyDescent="0.4">
      <c r="A34" s="215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42"/>
      <c r="K47" s="42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42"/>
      <c r="K48" s="42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42"/>
      <c r="K49" s="42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42"/>
      <c r="K50" s="42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42"/>
      <c r="K51" s="42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42"/>
      <c r="K52" s="42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42"/>
      <c r="K53" s="42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42"/>
      <c r="K54" s="42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74">
        <f t="shared" ref="C64:I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89"/>
      <c r="K64" s="89"/>
      <c r="L64" s="98">
        <f>SUM(L33:L63)</f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 t="s">
        <v>125</v>
      </c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I7:L8"/>
    <mergeCell ref="A54:B54"/>
    <mergeCell ref="A41:B41"/>
    <mergeCell ref="D13:D14"/>
    <mergeCell ref="A46:B46"/>
    <mergeCell ref="A37:B37"/>
    <mergeCell ref="G13:I14"/>
    <mergeCell ref="D9:D10"/>
    <mergeCell ref="C17:C18"/>
    <mergeCell ref="D25:D26"/>
    <mergeCell ref="A31:L31"/>
    <mergeCell ref="A27:C28"/>
    <mergeCell ref="I23:L24"/>
    <mergeCell ref="E17:F18"/>
    <mergeCell ref="C19:C20"/>
    <mergeCell ref="G17:H18"/>
    <mergeCell ref="A52:B52"/>
    <mergeCell ref="A7:D8"/>
    <mergeCell ref="C21:C22"/>
    <mergeCell ref="J9:L10"/>
    <mergeCell ref="D15:D16"/>
    <mergeCell ref="J11:L12"/>
    <mergeCell ref="A33:B33"/>
    <mergeCell ref="A42:B42"/>
    <mergeCell ref="I19:L20"/>
    <mergeCell ref="A35:B35"/>
    <mergeCell ref="A61:B61"/>
    <mergeCell ref="A13:B14"/>
    <mergeCell ref="G27:L30"/>
    <mergeCell ref="I21:L22"/>
    <mergeCell ref="C25:C26"/>
    <mergeCell ref="A19:B20"/>
    <mergeCell ref="J13:L14"/>
    <mergeCell ref="G23:H24"/>
    <mergeCell ref="A21:B22"/>
    <mergeCell ref="D69:H70"/>
    <mergeCell ref="A53:B53"/>
    <mergeCell ref="A62:B62"/>
    <mergeCell ref="A39:B39"/>
    <mergeCell ref="A48:B48"/>
    <mergeCell ref="G25:L26"/>
    <mergeCell ref="A59:B59"/>
    <mergeCell ref="A45:B45"/>
    <mergeCell ref="A32:B32"/>
    <mergeCell ref="A50:B50"/>
    <mergeCell ref="A47:B47"/>
    <mergeCell ref="A34:B34"/>
    <mergeCell ref="A49:B49"/>
    <mergeCell ref="A36:B36"/>
    <mergeCell ref="A64:B64"/>
    <mergeCell ref="A63:B63"/>
    <mergeCell ref="I69:L70"/>
    <mergeCell ref="A67:C68"/>
    <mergeCell ref="A69:C70"/>
    <mergeCell ref="A9:B10"/>
    <mergeCell ref="E25:F26"/>
    <mergeCell ref="A55:B55"/>
    <mergeCell ref="I67:L68"/>
    <mergeCell ref="E21:F22"/>
    <mergeCell ref="C23:C24"/>
    <mergeCell ref="G21:H22"/>
    <mergeCell ref="A57:B57"/>
    <mergeCell ref="A65:L66"/>
    <mergeCell ref="E13:F14"/>
    <mergeCell ref="G15:I16"/>
    <mergeCell ref="A38:B38"/>
    <mergeCell ref="A43:B43"/>
    <mergeCell ref="E23:F24"/>
    <mergeCell ref="A40:B40"/>
    <mergeCell ref="A60:B60"/>
    <mergeCell ref="A23:B26"/>
    <mergeCell ref="A17:B18"/>
    <mergeCell ref="C11:C12"/>
    <mergeCell ref="I17:L18"/>
    <mergeCell ref="A51:B51"/>
    <mergeCell ref="D21:D22"/>
    <mergeCell ref="D67:H68"/>
    <mergeCell ref="A56:B56"/>
    <mergeCell ref="E7:H8"/>
    <mergeCell ref="A3:L4"/>
    <mergeCell ref="C13:C14"/>
    <mergeCell ref="D19:D20"/>
    <mergeCell ref="A5:L6"/>
    <mergeCell ref="C15:C16"/>
    <mergeCell ref="A44:B44"/>
    <mergeCell ref="A29:C30"/>
    <mergeCell ref="A58:B58"/>
    <mergeCell ref="A15:B16"/>
    <mergeCell ref="D27:F30"/>
    <mergeCell ref="E15:F16"/>
    <mergeCell ref="D17:D18"/>
    <mergeCell ref="D11:D12"/>
    <mergeCell ref="J15:L16"/>
    <mergeCell ref="A11:B12"/>
    <mergeCell ref="E19:F20"/>
    <mergeCell ref="D23:D24"/>
    <mergeCell ref="G19:H20"/>
    <mergeCell ref="E9:F10"/>
    <mergeCell ref="G9:I10"/>
    <mergeCell ref="E11:F12"/>
    <mergeCell ref="G11:I12"/>
    <mergeCell ref="C9:C10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L70"/>
  <sheetViews>
    <sheetView zoomScale="55" zoomScaleNormal="55" workbookViewId="0">
      <selection activeCell="E40" sqref="E40"/>
    </sheetView>
  </sheetViews>
  <sheetFormatPr defaultRowHeight="13.9" x14ac:dyDescent="0.4"/>
  <cols>
    <col min="1" max="3" width="9.0625" style="3" bestFit="1" customWidth="1"/>
    <col min="4" max="4" width="10.25" style="3" bestFit="1" customWidth="1"/>
    <col min="5" max="12" width="9.0625" style="3" bestFit="1" customWidth="1"/>
    <col min="13" max="16384" width="9" style="3"/>
  </cols>
  <sheetData>
    <row r="1" spans="1:12" x14ac:dyDescent="0.4">
      <c r="A1" s="31">
        <v>1</v>
      </c>
      <c r="B1" s="31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241" t="s">
        <v>111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126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127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v>0</v>
      </c>
      <c r="D11" s="214">
        <v>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v>0</v>
      </c>
      <c r="D13" s="214">
        <v>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13000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v>0</v>
      </c>
      <c r="D19" s="214">
        <v>5000</v>
      </c>
      <c r="E19" s="214">
        <f>D19*C19</f>
        <v>0</v>
      </c>
      <c r="F19" s="146"/>
      <c r="G19" s="214" t="s">
        <v>16</v>
      </c>
      <c r="H19" s="146"/>
      <c r="I19" s="223"/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0</v>
      </c>
      <c r="E21" s="214">
        <f>D21*C21</f>
        <v>0</v>
      </c>
      <c r="F21" s="146"/>
      <c r="G21" s="214" t="s">
        <v>18</v>
      </c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D64</f>
        <v>0</v>
      </c>
      <c r="D25" s="229">
        <v>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I17+I19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6" t="s">
        <v>9</v>
      </c>
      <c r="D32" s="7" t="s">
        <v>219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42"/>
      <c r="K33" s="42"/>
      <c r="L33" s="53">
        <f t="shared" ref="L33:L63" si="0">E33*13000</f>
        <v>0</v>
      </c>
    </row>
    <row r="34" spans="1:12" x14ac:dyDescent="0.4">
      <c r="A34" s="215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42"/>
      <c r="K47" s="42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42"/>
      <c r="K48" s="42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42"/>
      <c r="K49" s="42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42"/>
      <c r="K50" s="42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42"/>
      <c r="K51" s="42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42"/>
      <c r="K52" s="42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42"/>
      <c r="K53" s="42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42"/>
      <c r="K54" s="42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74">
        <f t="shared" ref="C64:I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89"/>
      <c r="K64" s="89"/>
      <c r="L64" s="98">
        <f>SUM(L33:L63)</f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 t="s">
        <v>128</v>
      </c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I7:L8"/>
    <mergeCell ref="A54:B54"/>
    <mergeCell ref="A41:B41"/>
    <mergeCell ref="D13:D14"/>
    <mergeCell ref="A46:B46"/>
    <mergeCell ref="A37:B37"/>
    <mergeCell ref="G13:I14"/>
    <mergeCell ref="D9:D10"/>
    <mergeCell ref="C17:C18"/>
    <mergeCell ref="D25:D26"/>
    <mergeCell ref="A31:L31"/>
    <mergeCell ref="A27:C28"/>
    <mergeCell ref="I23:L24"/>
    <mergeCell ref="E17:F18"/>
    <mergeCell ref="C19:C20"/>
    <mergeCell ref="G17:H18"/>
    <mergeCell ref="A52:B52"/>
    <mergeCell ref="A7:D8"/>
    <mergeCell ref="C21:C22"/>
    <mergeCell ref="J9:L10"/>
    <mergeCell ref="D15:D16"/>
    <mergeCell ref="J11:L12"/>
    <mergeCell ref="A33:B33"/>
    <mergeCell ref="A42:B42"/>
    <mergeCell ref="I19:L20"/>
    <mergeCell ref="A35:B35"/>
    <mergeCell ref="A61:B61"/>
    <mergeCell ref="A13:B14"/>
    <mergeCell ref="G27:L30"/>
    <mergeCell ref="I21:L22"/>
    <mergeCell ref="C25:C26"/>
    <mergeCell ref="A19:B20"/>
    <mergeCell ref="J13:L14"/>
    <mergeCell ref="G23:H24"/>
    <mergeCell ref="A21:B22"/>
    <mergeCell ref="D69:H70"/>
    <mergeCell ref="A53:B53"/>
    <mergeCell ref="A62:B62"/>
    <mergeCell ref="A39:B39"/>
    <mergeCell ref="A48:B48"/>
    <mergeCell ref="G25:L26"/>
    <mergeCell ref="A59:B59"/>
    <mergeCell ref="A45:B45"/>
    <mergeCell ref="A32:B32"/>
    <mergeCell ref="A50:B50"/>
    <mergeCell ref="A47:B47"/>
    <mergeCell ref="A34:B34"/>
    <mergeCell ref="A49:B49"/>
    <mergeCell ref="A36:B36"/>
    <mergeCell ref="A64:B64"/>
    <mergeCell ref="A63:B63"/>
    <mergeCell ref="I69:L70"/>
    <mergeCell ref="A67:C68"/>
    <mergeCell ref="A69:C70"/>
    <mergeCell ref="A9:B10"/>
    <mergeCell ref="E25:F26"/>
    <mergeCell ref="A55:B55"/>
    <mergeCell ref="I67:L68"/>
    <mergeCell ref="E21:F22"/>
    <mergeCell ref="C23:C24"/>
    <mergeCell ref="G21:H22"/>
    <mergeCell ref="A57:B57"/>
    <mergeCell ref="A65:L66"/>
    <mergeCell ref="E13:F14"/>
    <mergeCell ref="G15:I16"/>
    <mergeCell ref="A38:B38"/>
    <mergeCell ref="A43:B43"/>
    <mergeCell ref="E23:F24"/>
    <mergeCell ref="A40:B40"/>
    <mergeCell ref="A60:B60"/>
    <mergeCell ref="A23:B26"/>
    <mergeCell ref="A17:B18"/>
    <mergeCell ref="C11:C12"/>
    <mergeCell ref="I17:L18"/>
    <mergeCell ref="A51:B51"/>
    <mergeCell ref="D21:D22"/>
    <mergeCell ref="D67:H68"/>
    <mergeCell ref="A56:B56"/>
    <mergeCell ref="E7:H8"/>
    <mergeCell ref="A3:L4"/>
    <mergeCell ref="C13:C14"/>
    <mergeCell ref="D19:D20"/>
    <mergeCell ref="A5:L6"/>
    <mergeCell ref="C15:C16"/>
    <mergeCell ref="A44:B44"/>
    <mergeCell ref="A29:C30"/>
    <mergeCell ref="A58:B58"/>
    <mergeCell ref="A15:B16"/>
    <mergeCell ref="D27:F30"/>
    <mergeCell ref="E15:F16"/>
    <mergeCell ref="D17:D18"/>
    <mergeCell ref="D11:D12"/>
    <mergeCell ref="J15:L16"/>
    <mergeCell ref="A11:B12"/>
    <mergeCell ref="E19:F20"/>
    <mergeCell ref="D23:D24"/>
    <mergeCell ref="G19:H20"/>
    <mergeCell ref="E9:F10"/>
    <mergeCell ref="G9:I10"/>
    <mergeCell ref="E11:F12"/>
    <mergeCell ref="G11:I12"/>
    <mergeCell ref="C9:C10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L70"/>
  <sheetViews>
    <sheetView topLeftCell="A13" zoomScale="55" zoomScaleNormal="55" workbookViewId="0">
      <selection activeCell="S48" sqref="S48"/>
    </sheetView>
  </sheetViews>
  <sheetFormatPr defaultRowHeight="13.9" x14ac:dyDescent="0.4"/>
  <cols>
    <col min="1" max="3" width="9.0625" style="3" bestFit="1" customWidth="1"/>
    <col min="4" max="4" width="10.25" style="3" bestFit="1" customWidth="1"/>
    <col min="5" max="12" width="9.0625" style="3" bestFit="1" customWidth="1"/>
    <col min="13" max="16384" width="9" style="3"/>
  </cols>
  <sheetData>
    <row r="1" spans="1:12" x14ac:dyDescent="0.4">
      <c r="A1" s="31">
        <v>1</v>
      </c>
      <c r="B1" s="31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241" t="s">
        <v>111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129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130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v>0</v>
      </c>
      <c r="D11" s="214">
        <v>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v>0</v>
      </c>
      <c r="D13" s="214">
        <v>0</v>
      </c>
      <c r="E13" s="214">
        <f>D13*C13</f>
        <v>0</v>
      </c>
      <c r="F13" s="146"/>
      <c r="G13" s="214"/>
      <c r="H13" s="151"/>
      <c r="I13" s="146"/>
      <c r="J13" s="214">
        <v>0</v>
      </c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C64</f>
        <v>0</v>
      </c>
      <c r="D15" s="214">
        <v>13000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4500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E64</f>
        <v>0</v>
      </c>
      <c r="D19" s="214">
        <v>5000</v>
      </c>
      <c r="E19" s="214">
        <f>D19*C19</f>
        <v>0</v>
      </c>
      <c r="F19" s="146"/>
      <c r="G19" s="214"/>
      <c r="H19" s="146"/>
      <c r="I19" s="223"/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0</v>
      </c>
      <c r="E21" s="214">
        <f>D21*C21</f>
        <v>0</v>
      </c>
      <c r="F21" s="146"/>
      <c r="G21" s="214"/>
      <c r="H21" s="146"/>
      <c r="I21" s="223">
        <v>0</v>
      </c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D64</f>
        <v>0</v>
      </c>
      <c r="D25" s="229">
        <v>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I17+I19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>
        <v>1</v>
      </c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6" t="s">
        <v>9</v>
      </c>
      <c r="D32" s="7" t="s">
        <v>219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42"/>
      <c r="K33" s="42"/>
      <c r="L33" s="53">
        <f t="shared" ref="L33:L63" si="0">E33*13000</f>
        <v>0</v>
      </c>
    </row>
    <row r="34" spans="1:12" x14ac:dyDescent="0.4">
      <c r="A34" s="215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42"/>
      <c r="K47" s="42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42"/>
      <c r="K48" s="42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42"/>
      <c r="K49" s="42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42"/>
      <c r="K50" s="42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42"/>
      <c r="K51" s="42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42"/>
      <c r="K52" s="42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42"/>
      <c r="K53" s="42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42"/>
      <c r="K54" s="42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74">
        <f t="shared" ref="C64:I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89"/>
      <c r="K64" s="89"/>
      <c r="L64" s="98">
        <f>SUM(L33:L63)</f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 t="s">
        <v>131</v>
      </c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I7:L8"/>
    <mergeCell ref="A54:B54"/>
    <mergeCell ref="A41:B41"/>
    <mergeCell ref="D13:D14"/>
    <mergeCell ref="A46:B46"/>
    <mergeCell ref="A37:B37"/>
    <mergeCell ref="G13:I14"/>
    <mergeCell ref="D9:D10"/>
    <mergeCell ref="C17:C18"/>
    <mergeCell ref="D25:D26"/>
    <mergeCell ref="A31:L31"/>
    <mergeCell ref="A27:C28"/>
    <mergeCell ref="I23:L24"/>
    <mergeCell ref="E17:F18"/>
    <mergeCell ref="C19:C20"/>
    <mergeCell ref="G17:H18"/>
    <mergeCell ref="A52:B52"/>
    <mergeCell ref="A7:D8"/>
    <mergeCell ref="C21:C22"/>
    <mergeCell ref="J9:L10"/>
    <mergeCell ref="D15:D16"/>
    <mergeCell ref="J11:L12"/>
    <mergeCell ref="A33:B33"/>
    <mergeCell ref="A42:B42"/>
    <mergeCell ref="I19:L20"/>
    <mergeCell ref="A35:B35"/>
    <mergeCell ref="A61:B61"/>
    <mergeCell ref="A13:B14"/>
    <mergeCell ref="G27:L30"/>
    <mergeCell ref="I21:L22"/>
    <mergeCell ref="C25:C26"/>
    <mergeCell ref="A19:B20"/>
    <mergeCell ref="J13:L14"/>
    <mergeCell ref="G23:H24"/>
    <mergeCell ref="A21:B22"/>
    <mergeCell ref="D69:H70"/>
    <mergeCell ref="A53:B53"/>
    <mergeCell ref="A62:B62"/>
    <mergeCell ref="A39:B39"/>
    <mergeCell ref="A48:B48"/>
    <mergeCell ref="G25:L26"/>
    <mergeCell ref="A59:B59"/>
    <mergeCell ref="A45:B45"/>
    <mergeCell ref="A32:B32"/>
    <mergeCell ref="A50:B50"/>
    <mergeCell ref="A47:B47"/>
    <mergeCell ref="A34:B34"/>
    <mergeCell ref="A49:B49"/>
    <mergeCell ref="A36:B36"/>
    <mergeCell ref="A64:B64"/>
    <mergeCell ref="A63:B63"/>
    <mergeCell ref="I69:L70"/>
    <mergeCell ref="A67:C68"/>
    <mergeCell ref="A69:C70"/>
    <mergeCell ref="A9:B10"/>
    <mergeCell ref="E25:F26"/>
    <mergeCell ref="A55:B55"/>
    <mergeCell ref="I67:L68"/>
    <mergeCell ref="E21:F22"/>
    <mergeCell ref="C23:C24"/>
    <mergeCell ref="G21:H22"/>
    <mergeCell ref="A57:B57"/>
    <mergeCell ref="A65:L66"/>
    <mergeCell ref="E13:F14"/>
    <mergeCell ref="G15:I16"/>
    <mergeCell ref="A38:B38"/>
    <mergeCell ref="A43:B43"/>
    <mergeCell ref="E23:F24"/>
    <mergeCell ref="A40:B40"/>
    <mergeCell ref="A60:B60"/>
    <mergeCell ref="A23:B26"/>
    <mergeCell ref="A17:B18"/>
    <mergeCell ref="C11:C12"/>
    <mergeCell ref="I17:L18"/>
    <mergeCell ref="A51:B51"/>
    <mergeCell ref="D21:D22"/>
    <mergeCell ref="D67:H68"/>
    <mergeCell ref="A56:B56"/>
    <mergeCell ref="E7:H8"/>
    <mergeCell ref="A3:L4"/>
    <mergeCell ref="C13:C14"/>
    <mergeCell ref="D19:D20"/>
    <mergeCell ref="A5:L6"/>
    <mergeCell ref="C15:C16"/>
    <mergeCell ref="A44:B44"/>
    <mergeCell ref="A29:C30"/>
    <mergeCell ref="A58:B58"/>
    <mergeCell ref="A15:B16"/>
    <mergeCell ref="D27:F30"/>
    <mergeCell ref="E15:F16"/>
    <mergeCell ref="D17:D18"/>
    <mergeCell ref="D11:D12"/>
    <mergeCell ref="J15:L16"/>
    <mergeCell ref="A11:B12"/>
    <mergeCell ref="E19:F20"/>
    <mergeCell ref="D23:D24"/>
    <mergeCell ref="G19:H20"/>
    <mergeCell ref="E9:F10"/>
    <mergeCell ref="G9:I10"/>
    <mergeCell ref="E11:F12"/>
    <mergeCell ref="G11:I12"/>
    <mergeCell ref="C9:C10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L70"/>
  <sheetViews>
    <sheetView topLeftCell="A7" zoomScale="55" zoomScaleNormal="55" workbookViewId="0">
      <selection activeCell="S36" sqref="S36"/>
    </sheetView>
  </sheetViews>
  <sheetFormatPr defaultRowHeight="13.9" x14ac:dyDescent="0.4"/>
  <cols>
    <col min="1" max="3" width="9.0625" style="3" bestFit="1" customWidth="1"/>
    <col min="4" max="4" width="10.25" style="3" bestFit="1" customWidth="1"/>
    <col min="5" max="12" width="9.0625" style="3" bestFit="1" customWidth="1"/>
    <col min="13" max="16384" width="9" style="3"/>
  </cols>
  <sheetData>
    <row r="1" spans="1:12" x14ac:dyDescent="0.4">
      <c r="A1" s="31">
        <v>2</v>
      </c>
      <c r="B1" s="31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241" t="s">
        <v>111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132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115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v>0</v>
      </c>
      <c r="D11" s="214">
        <v>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v>0</v>
      </c>
      <c r="D13" s="214">
        <v>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13000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0</v>
      </c>
      <c r="E19" s="214">
        <f>D19*C19</f>
        <v>0</v>
      </c>
      <c r="F19" s="146"/>
      <c r="G19" s="214" t="s">
        <v>16</v>
      </c>
      <c r="H19" s="146"/>
      <c r="I19" s="223"/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0</v>
      </c>
      <c r="E21" s="214">
        <f>D21*C21</f>
        <v>0</v>
      </c>
      <c r="F21" s="146"/>
      <c r="G21" s="214" t="s">
        <v>18</v>
      </c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D64</f>
        <v>0</v>
      </c>
      <c r="D25" s="229">
        <v>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I17+I19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6" t="s">
        <v>9</v>
      </c>
      <c r="D32" s="7" t="s">
        <v>219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42"/>
      <c r="K33" s="42"/>
      <c r="L33" s="53">
        <f t="shared" ref="L33:L63" si="0">E33*13000</f>
        <v>0</v>
      </c>
    </row>
    <row r="34" spans="1:12" x14ac:dyDescent="0.4">
      <c r="A34" s="215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42"/>
      <c r="K47" s="42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42"/>
      <c r="K48" s="42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42"/>
      <c r="K49" s="42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42"/>
      <c r="K50" s="42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42"/>
      <c r="K51" s="42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42"/>
      <c r="K52" s="42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42"/>
      <c r="K53" s="42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42"/>
      <c r="K54" s="42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74">
        <f t="shared" ref="C64:I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89"/>
      <c r="K64" s="89"/>
      <c r="L64" s="98">
        <f>SUM(L33:L63)</f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 t="s">
        <v>133</v>
      </c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I7:L8"/>
    <mergeCell ref="A54:B54"/>
    <mergeCell ref="A41:B41"/>
    <mergeCell ref="D13:D14"/>
    <mergeCell ref="A46:B46"/>
    <mergeCell ref="A37:B37"/>
    <mergeCell ref="G13:I14"/>
    <mergeCell ref="D9:D10"/>
    <mergeCell ref="C17:C18"/>
    <mergeCell ref="D25:D26"/>
    <mergeCell ref="A31:L31"/>
    <mergeCell ref="A27:C28"/>
    <mergeCell ref="I23:L24"/>
    <mergeCell ref="E17:F18"/>
    <mergeCell ref="C19:C20"/>
    <mergeCell ref="G17:H18"/>
    <mergeCell ref="A52:B52"/>
    <mergeCell ref="A7:D8"/>
    <mergeCell ref="C21:C22"/>
    <mergeCell ref="J9:L10"/>
    <mergeCell ref="D15:D16"/>
    <mergeCell ref="J11:L12"/>
    <mergeCell ref="A33:B33"/>
    <mergeCell ref="A42:B42"/>
    <mergeCell ref="I19:L20"/>
    <mergeCell ref="A35:B35"/>
    <mergeCell ref="A61:B61"/>
    <mergeCell ref="A13:B14"/>
    <mergeCell ref="G27:L30"/>
    <mergeCell ref="I21:L22"/>
    <mergeCell ref="C25:C26"/>
    <mergeCell ref="A19:B20"/>
    <mergeCell ref="J13:L14"/>
    <mergeCell ref="G23:H24"/>
    <mergeCell ref="A21:B22"/>
    <mergeCell ref="D69:H70"/>
    <mergeCell ref="A53:B53"/>
    <mergeCell ref="A62:B62"/>
    <mergeCell ref="A39:B39"/>
    <mergeCell ref="A48:B48"/>
    <mergeCell ref="G25:L26"/>
    <mergeCell ref="A59:B59"/>
    <mergeCell ref="A45:B45"/>
    <mergeCell ref="A32:B32"/>
    <mergeCell ref="A50:B50"/>
    <mergeCell ref="A47:B47"/>
    <mergeCell ref="A34:B34"/>
    <mergeCell ref="A49:B49"/>
    <mergeCell ref="A36:B36"/>
    <mergeCell ref="A64:B64"/>
    <mergeCell ref="A63:B63"/>
    <mergeCell ref="I69:L70"/>
    <mergeCell ref="A67:C68"/>
    <mergeCell ref="A69:C70"/>
    <mergeCell ref="A9:B10"/>
    <mergeCell ref="E25:F26"/>
    <mergeCell ref="A55:B55"/>
    <mergeCell ref="I67:L68"/>
    <mergeCell ref="E21:F22"/>
    <mergeCell ref="C23:C24"/>
    <mergeCell ref="G21:H22"/>
    <mergeCell ref="A57:B57"/>
    <mergeCell ref="A65:L66"/>
    <mergeCell ref="E13:F14"/>
    <mergeCell ref="G15:I16"/>
    <mergeCell ref="A38:B38"/>
    <mergeCell ref="A43:B43"/>
    <mergeCell ref="E23:F24"/>
    <mergeCell ref="A40:B40"/>
    <mergeCell ref="A60:B60"/>
    <mergeCell ref="A23:B26"/>
    <mergeCell ref="A17:B18"/>
    <mergeCell ref="C11:C12"/>
    <mergeCell ref="I17:L18"/>
    <mergeCell ref="A51:B51"/>
    <mergeCell ref="D21:D22"/>
    <mergeCell ref="D67:H68"/>
    <mergeCell ref="A56:B56"/>
    <mergeCell ref="E7:H8"/>
    <mergeCell ref="A3:L4"/>
    <mergeCell ref="C13:C14"/>
    <mergeCell ref="D19:D20"/>
    <mergeCell ref="A5:L6"/>
    <mergeCell ref="C15:C16"/>
    <mergeCell ref="A44:B44"/>
    <mergeCell ref="A29:C30"/>
    <mergeCell ref="A58:B58"/>
    <mergeCell ref="A15:B16"/>
    <mergeCell ref="D27:F30"/>
    <mergeCell ref="E15:F16"/>
    <mergeCell ref="D17:D18"/>
    <mergeCell ref="D11:D12"/>
    <mergeCell ref="J15:L16"/>
    <mergeCell ref="A11:B12"/>
    <mergeCell ref="E19:F20"/>
    <mergeCell ref="D23:D24"/>
    <mergeCell ref="G19:H20"/>
    <mergeCell ref="E9:F10"/>
    <mergeCell ref="G9:I10"/>
    <mergeCell ref="E11:F12"/>
    <mergeCell ref="G11:I12"/>
    <mergeCell ref="C9:C10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L70"/>
  <sheetViews>
    <sheetView zoomScale="55" zoomScaleNormal="55" workbookViewId="0">
      <selection activeCell="L35" sqref="L35"/>
    </sheetView>
  </sheetViews>
  <sheetFormatPr defaultRowHeight="13.9" x14ac:dyDescent="0.4"/>
  <cols>
    <col min="1" max="3" width="9.0625" style="3" bestFit="1" customWidth="1"/>
    <col min="4" max="4" width="10.25" style="3" bestFit="1" customWidth="1"/>
    <col min="5" max="12" width="9.0625" style="3" bestFit="1" customWidth="1"/>
    <col min="13" max="16384" width="9" style="3"/>
  </cols>
  <sheetData>
    <row r="1" spans="1:12" x14ac:dyDescent="0.4">
      <c r="A1" s="31">
        <v>1</v>
      </c>
      <c r="B1" s="31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56">
        <v>46054</v>
      </c>
      <c r="B2" s="56">
        <v>46082</v>
      </c>
      <c r="C2" s="58"/>
      <c r="D2" s="58"/>
      <c r="E2" s="58"/>
      <c r="F2" s="58"/>
      <c r="G2" s="58"/>
      <c r="H2" s="58"/>
      <c r="I2" s="58"/>
      <c r="J2" s="58"/>
      <c r="K2" s="58"/>
      <c r="L2" s="4"/>
    </row>
    <row r="3" spans="1:12" x14ac:dyDescent="0.4">
      <c r="A3" s="190" t="s">
        <v>134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135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136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v>0</v>
      </c>
      <c r="D11" s="214">
        <v>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v>0</v>
      </c>
      <c r="D13" s="214">
        <v>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C64</f>
        <v>0</v>
      </c>
      <c r="D15" s="214">
        <v>12000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0</v>
      </c>
      <c r="E19" s="214">
        <f>D19*C19</f>
        <v>0</v>
      </c>
      <c r="F19" s="146"/>
      <c r="G19" s="214" t="s">
        <v>16</v>
      </c>
      <c r="H19" s="146"/>
      <c r="I19" s="223"/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0</v>
      </c>
      <c r="E21" s="214">
        <f>D21*C21</f>
        <v>0</v>
      </c>
      <c r="F21" s="146"/>
      <c r="G21" s="214" t="s">
        <v>18</v>
      </c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D64</f>
        <v>0</v>
      </c>
      <c r="D25" s="229">
        <v>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I17+I19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30" t="s">
        <v>12</v>
      </c>
      <c r="D32" s="44" t="s">
        <v>25</v>
      </c>
      <c r="E32" s="2"/>
      <c r="F32" s="2"/>
      <c r="G32" s="2"/>
      <c r="H32" s="2"/>
      <c r="I32" s="2"/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37"/>
      <c r="D33" s="49"/>
      <c r="E33" s="53"/>
      <c r="F33" s="53"/>
      <c r="G33" s="53"/>
      <c r="H33" s="53"/>
      <c r="I33" s="53"/>
      <c r="J33" s="42"/>
      <c r="K33" s="42"/>
      <c r="L33" s="53">
        <f t="shared" ref="L33:L63" si="0">C33*12000</f>
        <v>0</v>
      </c>
    </row>
    <row r="34" spans="1:12" x14ac:dyDescent="0.4">
      <c r="A34" s="215" t="e">
        <f>#REF!</f>
        <v>#REF!</v>
      </c>
      <c r="B34" s="137"/>
      <c r="C34" s="37"/>
      <c r="D34" s="49"/>
      <c r="E34" s="53"/>
      <c r="F34" s="53"/>
      <c r="G34" s="53"/>
      <c r="H34" s="53"/>
      <c r="I34" s="53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37"/>
      <c r="D35" s="49"/>
      <c r="E35" s="53"/>
      <c r="F35" s="53"/>
      <c r="G35" s="53"/>
      <c r="H35" s="53"/>
      <c r="I35" s="53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37"/>
      <c r="D36" s="49"/>
      <c r="E36" s="53"/>
      <c r="F36" s="53"/>
      <c r="G36" s="53"/>
      <c r="H36" s="53"/>
      <c r="I36" s="53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37"/>
      <c r="D37" s="49"/>
      <c r="E37" s="53"/>
      <c r="F37" s="53"/>
      <c r="G37" s="53"/>
      <c r="H37" s="53"/>
      <c r="I37" s="53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37"/>
      <c r="D38" s="49"/>
      <c r="E38" s="53"/>
      <c r="F38" s="53"/>
      <c r="G38" s="53"/>
      <c r="H38" s="53"/>
      <c r="I38" s="53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37"/>
      <c r="D39" s="49"/>
      <c r="E39" s="53"/>
      <c r="F39" s="53"/>
      <c r="G39" s="53"/>
      <c r="H39" s="53"/>
      <c r="I39" s="53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37"/>
      <c r="D40" s="49"/>
      <c r="E40" s="53"/>
      <c r="F40" s="53"/>
      <c r="G40" s="53"/>
      <c r="H40" s="53"/>
      <c r="I40" s="53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37"/>
      <c r="D41" s="49"/>
      <c r="E41" s="53"/>
      <c r="F41" s="53"/>
      <c r="G41" s="53"/>
      <c r="H41" s="53"/>
      <c r="I41" s="53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37"/>
      <c r="D42" s="49"/>
      <c r="E42" s="53"/>
      <c r="F42" s="53"/>
      <c r="G42" s="53"/>
      <c r="H42" s="53"/>
      <c r="I42" s="53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37"/>
      <c r="D43" s="49"/>
      <c r="E43" s="53"/>
      <c r="F43" s="53"/>
      <c r="G43" s="53"/>
      <c r="H43" s="53"/>
      <c r="I43" s="53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37"/>
      <c r="D44" s="49"/>
      <c r="E44" s="53"/>
      <c r="F44" s="53"/>
      <c r="G44" s="53"/>
      <c r="H44" s="53"/>
      <c r="I44" s="53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37"/>
      <c r="D45" s="49"/>
      <c r="E45" s="53"/>
      <c r="F45" s="53"/>
      <c r="G45" s="53"/>
      <c r="H45" s="53"/>
      <c r="I45" s="53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37"/>
      <c r="D46" s="49"/>
      <c r="E46" s="53"/>
      <c r="F46" s="53"/>
      <c r="G46" s="53"/>
      <c r="H46" s="53"/>
      <c r="I46" s="53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37"/>
      <c r="D47" s="49"/>
      <c r="E47" s="53"/>
      <c r="F47" s="53"/>
      <c r="G47" s="53"/>
      <c r="H47" s="53"/>
      <c r="I47" s="53"/>
      <c r="J47" s="42"/>
      <c r="K47" s="42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37"/>
      <c r="D48" s="49"/>
      <c r="E48" s="53"/>
      <c r="F48" s="53"/>
      <c r="G48" s="53"/>
      <c r="H48" s="53"/>
      <c r="I48" s="53"/>
      <c r="J48" s="42"/>
      <c r="K48" s="42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37"/>
      <c r="D49" s="49"/>
      <c r="E49" s="53"/>
      <c r="F49" s="53"/>
      <c r="G49" s="53"/>
      <c r="H49" s="53"/>
      <c r="I49" s="53"/>
      <c r="J49" s="42"/>
      <c r="K49" s="42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37"/>
      <c r="D50" s="49"/>
      <c r="E50" s="53"/>
      <c r="F50" s="53"/>
      <c r="G50" s="53"/>
      <c r="H50" s="53"/>
      <c r="I50" s="53"/>
      <c r="J50" s="42"/>
      <c r="K50" s="42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37"/>
      <c r="D51" s="49"/>
      <c r="E51" s="53"/>
      <c r="F51" s="53"/>
      <c r="G51" s="53"/>
      <c r="H51" s="53"/>
      <c r="I51" s="53"/>
      <c r="J51" s="42"/>
      <c r="K51" s="42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37"/>
      <c r="D52" s="49"/>
      <c r="E52" s="53"/>
      <c r="F52" s="53"/>
      <c r="G52" s="53"/>
      <c r="H52" s="53"/>
      <c r="I52" s="53"/>
      <c r="J52" s="42"/>
      <c r="K52" s="42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37"/>
      <c r="D53" s="49"/>
      <c r="E53" s="53"/>
      <c r="F53" s="53"/>
      <c r="G53" s="53"/>
      <c r="H53" s="53"/>
      <c r="I53" s="53"/>
      <c r="J53" s="42"/>
      <c r="K53" s="42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37"/>
      <c r="D54" s="49"/>
      <c r="E54" s="53"/>
      <c r="F54" s="53"/>
      <c r="G54" s="53"/>
      <c r="H54" s="53"/>
      <c r="I54" s="53"/>
      <c r="J54" s="42"/>
      <c r="K54" s="42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37"/>
      <c r="D55" s="49"/>
      <c r="E55" s="53"/>
      <c r="F55" s="53"/>
      <c r="G55" s="53"/>
      <c r="H55" s="53"/>
      <c r="I55" s="53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37"/>
      <c r="D56" s="49"/>
      <c r="E56" s="53"/>
      <c r="F56" s="53"/>
      <c r="G56" s="53"/>
      <c r="H56" s="53"/>
      <c r="I56" s="53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37"/>
      <c r="D57" s="49"/>
      <c r="E57" s="53"/>
      <c r="F57" s="53"/>
      <c r="G57" s="53"/>
      <c r="H57" s="53"/>
      <c r="I57" s="53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37"/>
      <c r="D58" s="49"/>
      <c r="E58" s="53"/>
      <c r="F58" s="53"/>
      <c r="G58" s="53"/>
      <c r="H58" s="53"/>
      <c r="I58" s="53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37"/>
      <c r="D59" s="49"/>
      <c r="E59" s="53"/>
      <c r="F59" s="53"/>
      <c r="G59" s="53"/>
      <c r="H59" s="53"/>
      <c r="I59" s="53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37"/>
      <c r="D60" s="49"/>
      <c r="E60" s="53"/>
      <c r="F60" s="53"/>
      <c r="G60" s="53"/>
      <c r="H60" s="53"/>
      <c r="I60" s="53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37"/>
      <c r="D61" s="49"/>
      <c r="E61" s="53"/>
      <c r="F61" s="53"/>
      <c r="G61" s="53"/>
      <c r="H61" s="53"/>
      <c r="I61" s="53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37"/>
      <c r="D62" s="49"/>
      <c r="E62" s="53"/>
      <c r="F62" s="53"/>
      <c r="G62" s="53"/>
      <c r="H62" s="53"/>
      <c r="I62" s="53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37"/>
      <c r="D63" s="49"/>
      <c r="E63" s="53"/>
      <c r="F63" s="53"/>
      <c r="G63" s="53"/>
      <c r="H63" s="53"/>
      <c r="I63" s="53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84">
        <f>SUM(C33:C63)</f>
        <v>0</v>
      </c>
      <c r="D64" s="91">
        <f>SUM(D33:D63)</f>
        <v>0</v>
      </c>
      <c r="E64" s="89"/>
      <c r="F64" s="89"/>
      <c r="G64" s="89"/>
      <c r="H64" s="89"/>
      <c r="I64" s="89"/>
      <c r="J64" s="89"/>
      <c r="K64" s="89"/>
      <c r="L64" s="98">
        <f>SUM(L33:L63)</f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 t="s">
        <v>137</v>
      </c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I7:L8"/>
    <mergeCell ref="A54:B54"/>
    <mergeCell ref="A41:B41"/>
    <mergeCell ref="D13:D14"/>
    <mergeCell ref="A46:B46"/>
    <mergeCell ref="A37:B37"/>
    <mergeCell ref="G13:I14"/>
    <mergeCell ref="D9:D10"/>
    <mergeCell ref="C17:C18"/>
    <mergeCell ref="D25:D26"/>
    <mergeCell ref="A31:L31"/>
    <mergeCell ref="A27:C28"/>
    <mergeCell ref="I23:L24"/>
    <mergeCell ref="E17:F18"/>
    <mergeCell ref="C19:C20"/>
    <mergeCell ref="G17:H18"/>
    <mergeCell ref="A52:B52"/>
    <mergeCell ref="A7:D8"/>
    <mergeCell ref="C21:C22"/>
    <mergeCell ref="J9:L10"/>
    <mergeCell ref="D15:D16"/>
    <mergeCell ref="J11:L12"/>
    <mergeCell ref="A33:B33"/>
    <mergeCell ref="A42:B42"/>
    <mergeCell ref="I19:L20"/>
    <mergeCell ref="A35:B35"/>
    <mergeCell ref="A61:B61"/>
    <mergeCell ref="A13:B14"/>
    <mergeCell ref="G27:L30"/>
    <mergeCell ref="I21:L22"/>
    <mergeCell ref="C25:C26"/>
    <mergeCell ref="A19:B20"/>
    <mergeCell ref="J13:L14"/>
    <mergeCell ref="G23:H24"/>
    <mergeCell ref="A21:B22"/>
    <mergeCell ref="D69:H70"/>
    <mergeCell ref="A53:B53"/>
    <mergeCell ref="A62:B62"/>
    <mergeCell ref="A39:B39"/>
    <mergeCell ref="A48:B48"/>
    <mergeCell ref="G25:L26"/>
    <mergeCell ref="A59:B59"/>
    <mergeCell ref="A45:B45"/>
    <mergeCell ref="A32:B32"/>
    <mergeCell ref="A50:B50"/>
    <mergeCell ref="A47:B47"/>
    <mergeCell ref="A34:B34"/>
    <mergeCell ref="A49:B49"/>
    <mergeCell ref="A36:B36"/>
    <mergeCell ref="A64:B64"/>
    <mergeCell ref="A63:B63"/>
    <mergeCell ref="I69:L70"/>
    <mergeCell ref="A67:C68"/>
    <mergeCell ref="A69:C70"/>
    <mergeCell ref="A9:B10"/>
    <mergeCell ref="E25:F26"/>
    <mergeCell ref="A55:B55"/>
    <mergeCell ref="I67:L68"/>
    <mergeCell ref="E21:F22"/>
    <mergeCell ref="C23:C24"/>
    <mergeCell ref="G21:H22"/>
    <mergeCell ref="A57:B57"/>
    <mergeCell ref="A65:L66"/>
    <mergeCell ref="E13:F14"/>
    <mergeCell ref="G15:I16"/>
    <mergeCell ref="A38:B38"/>
    <mergeCell ref="A43:B43"/>
    <mergeCell ref="E23:F24"/>
    <mergeCell ref="A40:B40"/>
    <mergeCell ref="A60:B60"/>
    <mergeCell ref="A23:B26"/>
    <mergeCell ref="A17:B18"/>
    <mergeCell ref="C11:C12"/>
    <mergeCell ref="I17:L18"/>
    <mergeCell ref="A51:B51"/>
    <mergeCell ref="D21:D22"/>
    <mergeCell ref="D67:H68"/>
    <mergeCell ref="A56:B56"/>
    <mergeCell ref="E7:H8"/>
    <mergeCell ref="A3:L4"/>
    <mergeCell ref="C13:C14"/>
    <mergeCell ref="D19:D20"/>
    <mergeCell ref="A5:L6"/>
    <mergeCell ref="C15:C16"/>
    <mergeCell ref="A44:B44"/>
    <mergeCell ref="A29:C30"/>
    <mergeCell ref="A58:B58"/>
    <mergeCell ref="A15:B16"/>
    <mergeCell ref="D27:F30"/>
    <mergeCell ref="E15:F16"/>
    <mergeCell ref="D17:D18"/>
    <mergeCell ref="D11:D12"/>
    <mergeCell ref="J15:L16"/>
    <mergeCell ref="A11:B12"/>
    <mergeCell ref="E19:F20"/>
    <mergeCell ref="D23:D24"/>
    <mergeCell ref="G19:H20"/>
    <mergeCell ref="E9:F10"/>
    <mergeCell ref="G9:I10"/>
    <mergeCell ref="E11:F12"/>
    <mergeCell ref="G11:I12"/>
    <mergeCell ref="C9:C10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L70"/>
  <sheetViews>
    <sheetView zoomScale="55" zoomScaleNormal="55" workbookViewId="0">
      <selection activeCell="C11" sqref="C11:C12"/>
    </sheetView>
  </sheetViews>
  <sheetFormatPr defaultRowHeight="13.9" x14ac:dyDescent="0.4"/>
  <cols>
    <col min="1" max="3" width="9.0625" style="3" bestFit="1" customWidth="1"/>
    <col min="4" max="4" width="9.75" style="3" bestFit="1" customWidth="1"/>
    <col min="5" max="12" width="9.0625" style="3" bestFit="1" customWidth="1"/>
    <col min="13" max="16384" width="9" style="3"/>
  </cols>
  <sheetData>
    <row r="1" spans="1:12" x14ac:dyDescent="0.4">
      <c r="A1" s="31">
        <v>1</v>
      </c>
      <c r="B1" s="31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241" t="s">
        <v>111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138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136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f>C64</f>
        <v>0</v>
      </c>
      <c r="D11" s="214">
        <v>1900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f>D64</f>
        <v>0</v>
      </c>
      <c r="D13" s="214">
        <v>11000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0</v>
      </c>
      <c r="E19" s="214">
        <f>D19*C19</f>
        <v>0</v>
      </c>
      <c r="F19" s="146"/>
      <c r="G19" s="214" t="s">
        <v>16</v>
      </c>
      <c r="H19" s="146"/>
      <c r="I19" s="223"/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0</v>
      </c>
      <c r="E21" s="214">
        <f>D21*C21</f>
        <v>0</v>
      </c>
      <c r="F21" s="146"/>
      <c r="G21" s="214" t="s">
        <v>18</v>
      </c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>
        <v>0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F64</f>
        <v>0</v>
      </c>
      <c r="D25" s="229">
        <v>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I17+I19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6" t="s">
        <v>9</v>
      </c>
      <c r="D32" s="7" t="s">
        <v>219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42"/>
      <c r="K33" s="42"/>
      <c r="L33" s="53">
        <f t="shared" ref="L33:L63" si="0">D33*11000+C33*1900</f>
        <v>0</v>
      </c>
    </row>
    <row r="34" spans="1:12" x14ac:dyDescent="0.4">
      <c r="A34" s="215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42"/>
      <c r="K47" s="42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42"/>
      <c r="K48" s="42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42"/>
      <c r="K49" s="42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42"/>
      <c r="K50" s="42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42"/>
      <c r="K51" s="42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42"/>
      <c r="K52" s="42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42"/>
      <c r="K53" s="42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42"/>
      <c r="K54" s="42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74">
        <f t="shared" ref="C64:I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89">
        <f t="shared" ref="J64:L64" si="2">SUM(J33:J63)</f>
        <v>0</v>
      </c>
      <c r="K64" s="89">
        <f t="shared" si="2"/>
        <v>0</v>
      </c>
      <c r="L64" s="98">
        <f t="shared" si="2"/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 t="s">
        <v>139</v>
      </c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I7:L8"/>
    <mergeCell ref="A54:B54"/>
    <mergeCell ref="A41:B41"/>
    <mergeCell ref="D13:D14"/>
    <mergeCell ref="A46:B46"/>
    <mergeCell ref="A37:B37"/>
    <mergeCell ref="G13:I14"/>
    <mergeCell ref="D9:D10"/>
    <mergeCell ref="C17:C18"/>
    <mergeCell ref="D25:D26"/>
    <mergeCell ref="A31:L31"/>
    <mergeCell ref="A27:C28"/>
    <mergeCell ref="I23:L24"/>
    <mergeCell ref="E17:F18"/>
    <mergeCell ref="C19:C20"/>
    <mergeCell ref="G17:H18"/>
    <mergeCell ref="A52:B52"/>
    <mergeCell ref="A7:D8"/>
    <mergeCell ref="C21:C22"/>
    <mergeCell ref="J9:L10"/>
    <mergeCell ref="D15:D16"/>
    <mergeCell ref="J11:L12"/>
    <mergeCell ref="A33:B33"/>
    <mergeCell ref="A42:B42"/>
    <mergeCell ref="I19:L20"/>
    <mergeCell ref="A35:B35"/>
    <mergeCell ref="A61:B61"/>
    <mergeCell ref="A13:B14"/>
    <mergeCell ref="G27:L30"/>
    <mergeCell ref="I21:L22"/>
    <mergeCell ref="C25:C26"/>
    <mergeCell ref="A19:B20"/>
    <mergeCell ref="J13:L14"/>
    <mergeCell ref="G23:H24"/>
    <mergeCell ref="A21:B22"/>
    <mergeCell ref="D69:H70"/>
    <mergeCell ref="A53:B53"/>
    <mergeCell ref="A62:B62"/>
    <mergeCell ref="A39:B39"/>
    <mergeCell ref="A48:B48"/>
    <mergeCell ref="G25:L26"/>
    <mergeCell ref="A59:B59"/>
    <mergeCell ref="A45:B45"/>
    <mergeCell ref="A32:B32"/>
    <mergeCell ref="A50:B50"/>
    <mergeCell ref="A47:B47"/>
    <mergeCell ref="A34:B34"/>
    <mergeCell ref="A49:B49"/>
    <mergeCell ref="A36:B36"/>
    <mergeCell ref="A64:B64"/>
    <mergeCell ref="A63:B63"/>
    <mergeCell ref="I69:L70"/>
    <mergeCell ref="A67:C68"/>
    <mergeCell ref="A69:C70"/>
    <mergeCell ref="A9:B10"/>
    <mergeCell ref="E25:F26"/>
    <mergeCell ref="A55:B55"/>
    <mergeCell ref="I67:L68"/>
    <mergeCell ref="E21:F22"/>
    <mergeCell ref="C23:C24"/>
    <mergeCell ref="G21:H22"/>
    <mergeCell ref="A57:B57"/>
    <mergeCell ref="A65:L66"/>
    <mergeCell ref="E13:F14"/>
    <mergeCell ref="G15:I16"/>
    <mergeCell ref="A38:B38"/>
    <mergeCell ref="A43:B43"/>
    <mergeCell ref="E23:F24"/>
    <mergeCell ref="A40:B40"/>
    <mergeCell ref="A60:B60"/>
    <mergeCell ref="A23:B26"/>
    <mergeCell ref="A17:B18"/>
    <mergeCell ref="C11:C12"/>
    <mergeCell ref="I17:L18"/>
    <mergeCell ref="A51:B51"/>
    <mergeCell ref="D21:D22"/>
    <mergeCell ref="D67:H68"/>
    <mergeCell ref="A56:B56"/>
    <mergeCell ref="E7:H8"/>
    <mergeCell ref="A3:L4"/>
    <mergeCell ref="C13:C14"/>
    <mergeCell ref="D19:D20"/>
    <mergeCell ref="A5:L6"/>
    <mergeCell ref="C15:C16"/>
    <mergeCell ref="A44:B44"/>
    <mergeCell ref="A29:C30"/>
    <mergeCell ref="A58:B58"/>
    <mergeCell ref="A15:B16"/>
    <mergeCell ref="D27:F30"/>
    <mergeCell ref="E15:F16"/>
    <mergeCell ref="D17:D18"/>
    <mergeCell ref="D11:D12"/>
    <mergeCell ref="J15:L16"/>
    <mergeCell ref="A11:B12"/>
    <mergeCell ref="E19:F20"/>
    <mergeCell ref="D23:D24"/>
    <mergeCell ref="G19:H20"/>
    <mergeCell ref="E9:F10"/>
    <mergeCell ref="G9:I10"/>
    <mergeCell ref="E11:F12"/>
    <mergeCell ref="G11:I12"/>
    <mergeCell ref="C9:C10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L70"/>
  <sheetViews>
    <sheetView topLeftCell="A2" zoomScale="55" zoomScaleNormal="55" workbookViewId="0">
      <selection activeCell="L33" sqref="L33:L63"/>
    </sheetView>
  </sheetViews>
  <sheetFormatPr defaultRowHeight="13.9" x14ac:dyDescent="0.4"/>
  <cols>
    <col min="1" max="3" width="9.0625" style="3" bestFit="1" customWidth="1"/>
    <col min="4" max="4" width="10.25" style="3" bestFit="1" customWidth="1"/>
    <col min="5" max="12" width="9.0625" style="3" bestFit="1" customWidth="1"/>
    <col min="13" max="16384" width="9" style="3"/>
  </cols>
  <sheetData>
    <row r="1" spans="1:12" x14ac:dyDescent="0.4">
      <c r="A1" s="2">
        <v>1</v>
      </c>
      <c r="B1" s="2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190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140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3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f>C64</f>
        <v>0</v>
      </c>
      <c r="D11" s="214">
        <v>2000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f>D64</f>
        <v>0</v>
      </c>
      <c r="D13" s="214">
        <v>13000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13000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4500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5000</v>
      </c>
      <c r="E19" s="214">
        <f>D19*C19</f>
        <v>0</v>
      </c>
      <c r="F19" s="146"/>
      <c r="G19" s="214" t="s">
        <v>16</v>
      </c>
      <c r="H19" s="146"/>
      <c r="I19" s="223"/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6000</v>
      </c>
      <c r="E21" s="214">
        <f>D21*C21</f>
        <v>0</v>
      </c>
      <c r="F21" s="146"/>
      <c r="G21" s="214" t="s">
        <v>18</v>
      </c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F64</f>
        <v>0</v>
      </c>
      <c r="D25" s="229">
        <v>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I17+I19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6" t="s">
        <v>9</v>
      </c>
      <c r="D32" s="7" t="s">
        <v>219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42"/>
      <c r="K33" s="42"/>
      <c r="L33" s="53">
        <f t="shared" ref="L33:L63" si="0">I33*5500+H33*4000+G33*4000-F33*3000+E33*14000+D33*12000+C33*1900</f>
        <v>0</v>
      </c>
    </row>
    <row r="34" spans="1:12" x14ac:dyDescent="0.4">
      <c r="A34" s="215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42"/>
      <c r="K47" s="42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42"/>
      <c r="K48" s="42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42"/>
      <c r="K49" s="42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42"/>
      <c r="K50" s="42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42"/>
      <c r="K51" s="42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42"/>
      <c r="K52" s="42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42"/>
      <c r="K53" s="42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42"/>
      <c r="K54" s="42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74">
        <f t="shared" ref="C64:I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89">
        <f t="shared" ref="J64:L64" si="2">SUM(J33:J63)</f>
        <v>0</v>
      </c>
      <c r="K64" s="89">
        <f t="shared" si="2"/>
        <v>0</v>
      </c>
      <c r="L64" s="98">
        <f t="shared" si="2"/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/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I7:L8"/>
    <mergeCell ref="A54:B54"/>
    <mergeCell ref="A41:B41"/>
    <mergeCell ref="D13:D14"/>
    <mergeCell ref="A46:B46"/>
    <mergeCell ref="A37:B37"/>
    <mergeCell ref="G13:I14"/>
    <mergeCell ref="D9:D10"/>
    <mergeCell ref="C17:C18"/>
    <mergeCell ref="D25:D26"/>
    <mergeCell ref="A31:L31"/>
    <mergeCell ref="A27:C28"/>
    <mergeCell ref="I23:L24"/>
    <mergeCell ref="E17:F18"/>
    <mergeCell ref="C19:C20"/>
    <mergeCell ref="G17:H18"/>
    <mergeCell ref="A52:B52"/>
    <mergeCell ref="A7:D8"/>
    <mergeCell ref="C21:C22"/>
    <mergeCell ref="J9:L10"/>
    <mergeCell ref="D15:D16"/>
    <mergeCell ref="J11:L12"/>
    <mergeCell ref="A33:B33"/>
    <mergeCell ref="A42:B42"/>
    <mergeCell ref="I19:L20"/>
    <mergeCell ref="A35:B35"/>
    <mergeCell ref="A61:B61"/>
    <mergeCell ref="A13:B14"/>
    <mergeCell ref="G27:L30"/>
    <mergeCell ref="I21:L22"/>
    <mergeCell ref="C25:C26"/>
    <mergeCell ref="A19:B20"/>
    <mergeCell ref="J13:L14"/>
    <mergeCell ref="G23:H24"/>
    <mergeCell ref="A21:B22"/>
    <mergeCell ref="D69:H70"/>
    <mergeCell ref="A53:B53"/>
    <mergeCell ref="A62:B62"/>
    <mergeCell ref="A39:B39"/>
    <mergeCell ref="A48:B48"/>
    <mergeCell ref="G25:L26"/>
    <mergeCell ref="A59:B59"/>
    <mergeCell ref="A45:B45"/>
    <mergeCell ref="A32:B32"/>
    <mergeCell ref="A50:B50"/>
    <mergeCell ref="A47:B47"/>
    <mergeCell ref="A34:B34"/>
    <mergeCell ref="A49:B49"/>
    <mergeCell ref="A36:B36"/>
    <mergeCell ref="A64:B64"/>
    <mergeCell ref="A63:B63"/>
    <mergeCell ref="I69:L70"/>
    <mergeCell ref="A67:C68"/>
    <mergeCell ref="A69:C70"/>
    <mergeCell ref="A9:B10"/>
    <mergeCell ref="E25:F26"/>
    <mergeCell ref="A55:B55"/>
    <mergeCell ref="I67:L68"/>
    <mergeCell ref="E21:F22"/>
    <mergeCell ref="C23:C24"/>
    <mergeCell ref="G21:H22"/>
    <mergeCell ref="A57:B57"/>
    <mergeCell ref="A65:L66"/>
    <mergeCell ref="E13:F14"/>
    <mergeCell ref="G15:I16"/>
    <mergeCell ref="A38:B38"/>
    <mergeCell ref="A43:B43"/>
    <mergeCell ref="E23:F24"/>
    <mergeCell ref="A40:B40"/>
    <mergeCell ref="A60:B60"/>
    <mergeCell ref="A23:B26"/>
    <mergeCell ref="A17:B18"/>
    <mergeCell ref="C11:C12"/>
    <mergeCell ref="I17:L18"/>
    <mergeCell ref="A51:B51"/>
    <mergeCell ref="D21:D22"/>
    <mergeCell ref="D67:H68"/>
    <mergeCell ref="A56:B56"/>
    <mergeCell ref="E7:H8"/>
    <mergeCell ref="A3:L4"/>
    <mergeCell ref="C13:C14"/>
    <mergeCell ref="D19:D20"/>
    <mergeCell ref="A5:L6"/>
    <mergeCell ref="C15:C16"/>
    <mergeCell ref="A44:B44"/>
    <mergeCell ref="A29:C30"/>
    <mergeCell ref="A58:B58"/>
    <mergeCell ref="A15:B16"/>
    <mergeCell ref="D27:F30"/>
    <mergeCell ref="E15:F16"/>
    <mergeCell ref="D17:D18"/>
    <mergeCell ref="D11:D12"/>
    <mergeCell ref="J15:L16"/>
    <mergeCell ref="A11:B12"/>
    <mergeCell ref="E19:F20"/>
    <mergeCell ref="D23:D24"/>
    <mergeCell ref="G19:H20"/>
    <mergeCell ref="E9:F10"/>
    <mergeCell ref="G9:I10"/>
    <mergeCell ref="E11:F12"/>
    <mergeCell ref="G11:I12"/>
    <mergeCell ref="C9:C10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L70"/>
  <sheetViews>
    <sheetView topLeftCell="A9" zoomScale="55" zoomScaleNormal="55" workbookViewId="0">
      <selection activeCell="O38" sqref="O38"/>
    </sheetView>
  </sheetViews>
  <sheetFormatPr defaultRowHeight="13.9" x14ac:dyDescent="0.4"/>
  <cols>
    <col min="1" max="3" width="9.0625" style="3" bestFit="1" customWidth="1"/>
    <col min="4" max="4" width="9.75" style="3" bestFit="1" customWidth="1"/>
    <col min="5" max="12" width="9.0625" style="3" bestFit="1" customWidth="1"/>
    <col min="13" max="16384" width="9" style="3"/>
  </cols>
  <sheetData>
    <row r="1" spans="1:12" x14ac:dyDescent="0.4">
      <c r="A1" s="31">
        <v>1</v>
      </c>
      <c r="B1" s="31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241" t="s">
        <v>111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141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142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v>0</v>
      </c>
      <c r="D11" s="214">
        <v>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f>C64</f>
        <v>0</v>
      </c>
      <c r="D13" s="214">
        <v>11000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0</v>
      </c>
      <c r="E19" s="214">
        <f>D19*C19</f>
        <v>0</v>
      </c>
      <c r="F19" s="146"/>
      <c r="G19" s="214" t="s">
        <v>16</v>
      </c>
      <c r="H19" s="146"/>
      <c r="I19" s="223"/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0</v>
      </c>
      <c r="E21" s="214">
        <f>D21*C21</f>
        <v>0</v>
      </c>
      <c r="F21" s="146"/>
      <c r="G21" s="214" t="s">
        <v>18</v>
      </c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D64</f>
        <v>0</v>
      </c>
      <c r="D25" s="229">
        <v>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I17+I19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6" t="s">
        <v>9</v>
      </c>
      <c r="D32" s="7" t="s">
        <v>219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42"/>
      <c r="K33" s="42"/>
      <c r="L33" s="53">
        <f t="shared" ref="L33:L63" si="0">D33*11000</f>
        <v>0</v>
      </c>
    </row>
    <row r="34" spans="1:12" x14ac:dyDescent="0.4">
      <c r="A34" s="215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42"/>
      <c r="K47" s="42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42"/>
      <c r="K48" s="42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42"/>
      <c r="K49" s="42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42"/>
      <c r="K50" s="42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42"/>
      <c r="K51" s="42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42"/>
      <c r="K52" s="42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42"/>
      <c r="K53" s="42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42"/>
      <c r="K54" s="42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74">
        <f t="shared" ref="C64:I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89"/>
      <c r="K64" s="89"/>
      <c r="L64" s="98">
        <f>SUM(L33:L63)</f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 t="s">
        <v>143</v>
      </c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I7:L8"/>
    <mergeCell ref="A54:B54"/>
    <mergeCell ref="A41:B41"/>
    <mergeCell ref="D13:D14"/>
    <mergeCell ref="A46:B46"/>
    <mergeCell ref="A37:B37"/>
    <mergeCell ref="G13:I14"/>
    <mergeCell ref="D9:D10"/>
    <mergeCell ref="C17:C18"/>
    <mergeCell ref="D25:D26"/>
    <mergeCell ref="A31:L31"/>
    <mergeCell ref="A27:C28"/>
    <mergeCell ref="I23:L24"/>
    <mergeCell ref="E17:F18"/>
    <mergeCell ref="C19:C20"/>
    <mergeCell ref="G17:H18"/>
    <mergeCell ref="A52:B52"/>
    <mergeCell ref="A7:D8"/>
    <mergeCell ref="C21:C22"/>
    <mergeCell ref="J9:L10"/>
    <mergeCell ref="D15:D16"/>
    <mergeCell ref="J11:L12"/>
    <mergeCell ref="A33:B33"/>
    <mergeCell ref="A42:B42"/>
    <mergeCell ref="I19:L20"/>
    <mergeCell ref="A35:B35"/>
    <mergeCell ref="A61:B61"/>
    <mergeCell ref="A13:B14"/>
    <mergeCell ref="G27:L30"/>
    <mergeCell ref="I21:L22"/>
    <mergeCell ref="C25:C26"/>
    <mergeCell ref="A19:B20"/>
    <mergeCell ref="J13:L14"/>
    <mergeCell ref="G23:H24"/>
    <mergeCell ref="A21:B22"/>
    <mergeCell ref="D69:H70"/>
    <mergeCell ref="A53:B53"/>
    <mergeCell ref="A62:B62"/>
    <mergeCell ref="A39:B39"/>
    <mergeCell ref="A48:B48"/>
    <mergeCell ref="G25:L26"/>
    <mergeCell ref="A59:B59"/>
    <mergeCell ref="A45:B45"/>
    <mergeCell ref="A32:B32"/>
    <mergeCell ref="A50:B50"/>
    <mergeCell ref="A47:B47"/>
    <mergeCell ref="A34:B34"/>
    <mergeCell ref="A49:B49"/>
    <mergeCell ref="A36:B36"/>
    <mergeCell ref="A64:B64"/>
    <mergeCell ref="A63:B63"/>
    <mergeCell ref="I69:L70"/>
    <mergeCell ref="A67:C68"/>
    <mergeCell ref="A69:C70"/>
    <mergeCell ref="A9:B10"/>
    <mergeCell ref="E25:F26"/>
    <mergeCell ref="A55:B55"/>
    <mergeCell ref="I67:L68"/>
    <mergeCell ref="E21:F22"/>
    <mergeCell ref="C23:C24"/>
    <mergeCell ref="G21:H22"/>
    <mergeCell ref="A57:B57"/>
    <mergeCell ref="A65:L66"/>
    <mergeCell ref="E13:F14"/>
    <mergeCell ref="G15:I16"/>
    <mergeCell ref="A38:B38"/>
    <mergeCell ref="A43:B43"/>
    <mergeCell ref="E23:F24"/>
    <mergeCell ref="A40:B40"/>
    <mergeCell ref="A60:B60"/>
    <mergeCell ref="A23:B26"/>
    <mergeCell ref="A17:B18"/>
    <mergeCell ref="C11:C12"/>
    <mergeCell ref="I17:L18"/>
    <mergeCell ref="A51:B51"/>
    <mergeCell ref="D21:D22"/>
    <mergeCell ref="D67:H68"/>
    <mergeCell ref="A56:B56"/>
    <mergeCell ref="E7:H8"/>
    <mergeCell ref="A3:L4"/>
    <mergeCell ref="C13:C14"/>
    <mergeCell ref="D19:D20"/>
    <mergeCell ref="A5:L6"/>
    <mergeCell ref="C15:C16"/>
    <mergeCell ref="A44:B44"/>
    <mergeCell ref="A29:C30"/>
    <mergeCell ref="A58:B58"/>
    <mergeCell ref="A15:B16"/>
    <mergeCell ref="D27:F30"/>
    <mergeCell ref="E15:F16"/>
    <mergeCell ref="D17:D18"/>
    <mergeCell ref="D11:D12"/>
    <mergeCell ref="J15:L16"/>
    <mergeCell ref="A11:B12"/>
    <mergeCell ref="E19:F20"/>
    <mergeCell ref="D23:D24"/>
    <mergeCell ref="G19:H20"/>
    <mergeCell ref="E9:F10"/>
    <mergeCell ref="G9:I10"/>
    <mergeCell ref="E11:F12"/>
    <mergeCell ref="G11:I12"/>
    <mergeCell ref="C9:C10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L70"/>
  <sheetViews>
    <sheetView zoomScale="55" zoomScaleNormal="55" workbookViewId="0">
      <selection activeCell="L37" sqref="L37"/>
    </sheetView>
  </sheetViews>
  <sheetFormatPr defaultRowHeight="13.9" x14ac:dyDescent="0.4"/>
  <cols>
    <col min="1" max="3" width="9.0625" style="3" bestFit="1" customWidth="1"/>
    <col min="4" max="4" width="10.25" style="3" bestFit="1" customWidth="1"/>
    <col min="5" max="12" width="9.0625" style="3" bestFit="1" customWidth="1"/>
    <col min="13" max="16384" width="9" style="3"/>
  </cols>
  <sheetData>
    <row r="1" spans="1:12" x14ac:dyDescent="0.4">
      <c r="A1" s="31">
        <v>1</v>
      </c>
      <c r="B1" s="31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241" t="s">
        <v>111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144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142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/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f>C64</f>
        <v>0</v>
      </c>
      <c r="D11" s="214">
        <v>0</v>
      </c>
      <c r="E11" s="214">
        <f>D11*C11</f>
        <v>0</v>
      </c>
      <c r="F11" s="146"/>
      <c r="G11" s="214" t="s">
        <v>10</v>
      </c>
      <c r="H11" s="151"/>
      <c r="I11" s="146"/>
      <c r="J11" s="223" t="s">
        <v>145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f>D64</f>
        <v>0</v>
      </c>
      <c r="D13" s="214">
        <v>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13000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0</v>
      </c>
      <c r="E19" s="214">
        <f>D19*C19</f>
        <v>0</v>
      </c>
      <c r="F19" s="146"/>
      <c r="G19" s="214" t="s">
        <v>16</v>
      </c>
      <c r="H19" s="146"/>
      <c r="I19" s="223"/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0</v>
      </c>
      <c r="E21" s="214">
        <f>D21*C21</f>
        <v>0</v>
      </c>
      <c r="F21" s="146"/>
      <c r="G21" s="214" t="s">
        <v>18</v>
      </c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F64</f>
        <v>0</v>
      </c>
      <c r="D25" s="229">
        <v>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I17+I19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6" t="s">
        <v>9</v>
      </c>
      <c r="D32" s="7" t="s">
        <v>219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42"/>
      <c r="K33" s="42"/>
      <c r="L33" s="53">
        <f t="shared" ref="L33:L63" si="0">I33*5500+H33*4000+G33*4000-F33*0+E33*13000+D33*12000+C33*1700</f>
        <v>0</v>
      </c>
    </row>
    <row r="34" spans="1:12" x14ac:dyDescent="0.4">
      <c r="A34" s="215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42"/>
      <c r="K47" s="42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42"/>
      <c r="K48" s="42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42"/>
      <c r="K49" s="42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42"/>
      <c r="K50" s="42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42"/>
      <c r="K51" s="42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42"/>
      <c r="K52" s="42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42"/>
      <c r="K53" s="42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42"/>
      <c r="K54" s="42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74">
        <f t="shared" ref="C64:I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89">
        <f t="shared" ref="J64:L64" si="2">SUM(J33:J63)</f>
        <v>0</v>
      </c>
      <c r="K64" s="89">
        <f t="shared" si="2"/>
        <v>0</v>
      </c>
      <c r="L64" s="98">
        <f t="shared" si="2"/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 t="s">
        <v>146</v>
      </c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I7:L8"/>
    <mergeCell ref="A54:B54"/>
    <mergeCell ref="A41:B41"/>
    <mergeCell ref="D13:D14"/>
    <mergeCell ref="A46:B46"/>
    <mergeCell ref="A37:B37"/>
    <mergeCell ref="G13:I14"/>
    <mergeCell ref="D9:D10"/>
    <mergeCell ref="C17:C18"/>
    <mergeCell ref="D25:D26"/>
    <mergeCell ref="A31:L31"/>
    <mergeCell ref="A27:C28"/>
    <mergeCell ref="I23:L24"/>
    <mergeCell ref="E17:F18"/>
    <mergeCell ref="C19:C20"/>
    <mergeCell ref="G17:H18"/>
    <mergeCell ref="A52:B52"/>
    <mergeCell ref="A7:D8"/>
    <mergeCell ref="C21:C22"/>
    <mergeCell ref="J9:L10"/>
    <mergeCell ref="D15:D16"/>
    <mergeCell ref="J11:L12"/>
    <mergeCell ref="A33:B33"/>
    <mergeCell ref="A42:B42"/>
    <mergeCell ref="I19:L20"/>
    <mergeCell ref="A35:B35"/>
    <mergeCell ref="A61:B61"/>
    <mergeCell ref="A13:B14"/>
    <mergeCell ref="G27:L30"/>
    <mergeCell ref="I21:L22"/>
    <mergeCell ref="C25:C26"/>
    <mergeCell ref="A19:B20"/>
    <mergeCell ref="J13:L14"/>
    <mergeCell ref="G23:H24"/>
    <mergeCell ref="A21:B22"/>
    <mergeCell ref="D69:H70"/>
    <mergeCell ref="A53:B53"/>
    <mergeCell ref="A62:B62"/>
    <mergeCell ref="A39:B39"/>
    <mergeCell ref="A48:B48"/>
    <mergeCell ref="G25:L26"/>
    <mergeCell ref="A59:B59"/>
    <mergeCell ref="A45:B45"/>
    <mergeCell ref="A32:B32"/>
    <mergeCell ref="A50:B50"/>
    <mergeCell ref="A47:B47"/>
    <mergeCell ref="A34:B34"/>
    <mergeCell ref="A49:B49"/>
    <mergeCell ref="A36:B36"/>
    <mergeCell ref="A64:B64"/>
    <mergeCell ref="A63:B63"/>
    <mergeCell ref="I69:L70"/>
    <mergeCell ref="A67:C68"/>
    <mergeCell ref="A69:C70"/>
    <mergeCell ref="A9:B10"/>
    <mergeCell ref="E25:F26"/>
    <mergeCell ref="A55:B55"/>
    <mergeCell ref="I67:L68"/>
    <mergeCell ref="E21:F22"/>
    <mergeCell ref="C23:C24"/>
    <mergeCell ref="G21:H22"/>
    <mergeCell ref="A57:B57"/>
    <mergeCell ref="A65:L66"/>
    <mergeCell ref="E13:F14"/>
    <mergeCell ref="G15:I16"/>
    <mergeCell ref="A38:B38"/>
    <mergeCell ref="A43:B43"/>
    <mergeCell ref="E23:F24"/>
    <mergeCell ref="A40:B40"/>
    <mergeCell ref="A60:B60"/>
    <mergeCell ref="A23:B26"/>
    <mergeCell ref="A17:B18"/>
    <mergeCell ref="C11:C12"/>
    <mergeCell ref="I17:L18"/>
    <mergeCell ref="A51:B51"/>
    <mergeCell ref="D21:D22"/>
    <mergeCell ref="D67:H68"/>
    <mergeCell ref="A56:B56"/>
    <mergeCell ref="E7:H8"/>
    <mergeCell ref="A3:L4"/>
    <mergeCell ref="C13:C14"/>
    <mergeCell ref="D19:D20"/>
    <mergeCell ref="A5:L6"/>
    <mergeCell ref="C15:C16"/>
    <mergeCell ref="A44:B44"/>
    <mergeCell ref="A29:C30"/>
    <mergeCell ref="A58:B58"/>
    <mergeCell ref="A15:B16"/>
    <mergeCell ref="D27:F30"/>
    <mergeCell ref="E15:F16"/>
    <mergeCell ref="D17:D18"/>
    <mergeCell ref="D11:D12"/>
    <mergeCell ref="J15:L16"/>
    <mergeCell ref="A11:B12"/>
    <mergeCell ref="E19:F20"/>
    <mergeCell ref="D23:D24"/>
    <mergeCell ref="G19:H20"/>
    <mergeCell ref="E9:F10"/>
    <mergeCell ref="G9:I10"/>
    <mergeCell ref="E11:F12"/>
    <mergeCell ref="G11:I12"/>
    <mergeCell ref="C9:C10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L70"/>
  <sheetViews>
    <sheetView zoomScale="55" zoomScaleNormal="55" workbookViewId="0">
      <selection activeCell="C32" sqref="C32:I64"/>
    </sheetView>
  </sheetViews>
  <sheetFormatPr defaultRowHeight="13.9" x14ac:dyDescent="0.4"/>
  <cols>
    <col min="1" max="3" width="9.0625" style="3" bestFit="1" customWidth="1"/>
    <col min="4" max="4" width="9.75" style="3" bestFit="1" customWidth="1"/>
    <col min="5" max="12" width="9.0625" style="3" bestFit="1" customWidth="1"/>
    <col min="13" max="16384" width="9" style="3"/>
  </cols>
  <sheetData>
    <row r="1" spans="1:12" x14ac:dyDescent="0.4">
      <c r="A1" s="2">
        <v>1</v>
      </c>
      <c r="B1" s="2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190" t="s">
        <v>147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148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3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f>C64</f>
        <v>0</v>
      </c>
      <c r="D11" s="214">
        <v>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f>D64</f>
        <v>0</v>
      </c>
      <c r="D13" s="214">
        <v>11000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0</v>
      </c>
      <c r="E19" s="214">
        <f>D19*C19</f>
        <v>0</v>
      </c>
      <c r="F19" s="146"/>
      <c r="G19" s="214" t="s">
        <v>16</v>
      </c>
      <c r="H19" s="146"/>
      <c r="I19" s="223"/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0</v>
      </c>
      <c r="E21" s="214">
        <f>D21*C21</f>
        <v>0</v>
      </c>
      <c r="F21" s="146"/>
      <c r="G21" s="214" t="s">
        <v>18</v>
      </c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F64</f>
        <v>0</v>
      </c>
      <c r="D25" s="229">
        <v>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I17+I19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6" t="s">
        <v>9</v>
      </c>
      <c r="D32" s="7" t="s">
        <v>219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42"/>
      <c r="K33" s="42"/>
      <c r="L33" s="53">
        <f t="shared" ref="L33:L63" si="0">D33*11000</f>
        <v>0</v>
      </c>
    </row>
    <row r="34" spans="1:12" x14ac:dyDescent="0.4">
      <c r="A34" s="215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42"/>
      <c r="K47" s="42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42"/>
      <c r="K48" s="42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42"/>
      <c r="K49" s="42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42"/>
      <c r="K50" s="42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42"/>
      <c r="K51" s="42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42"/>
      <c r="K52" s="42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42"/>
      <c r="K53" s="42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42"/>
      <c r="K54" s="42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74">
        <f t="shared" ref="C64:I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89">
        <f t="shared" ref="J64:L64" si="2">SUM(J33:J63)</f>
        <v>0</v>
      </c>
      <c r="K64" s="89">
        <f t="shared" si="2"/>
        <v>0</v>
      </c>
      <c r="L64" s="98">
        <f t="shared" si="2"/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/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I7:L8"/>
    <mergeCell ref="A54:B54"/>
    <mergeCell ref="A41:B41"/>
    <mergeCell ref="D13:D14"/>
    <mergeCell ref="A46:B46"/>
    <mergeCell ref="A37:B37"/>
    <mergeCell ref="G13:I14"/>
    <mergeCell ref="D9:D10"/>
    <mergeCell ref="C17:C18"/>
    <mergeCell ref="D25:D26"/>
    <mergeCell ref="A31:L31"/>
    <mergeCell ref="A27:C28"/>
    <mergeCell ref="I23:L24"/>
    <mergeCell ref="E17:F18"/>
    <mergeCell ref="C19:C20"/>
    <mergeCell ref="G17:H18"/>
    <mergeCell ref="A52:B52"/>
    <mergeCell ref="A7:D8"/>
    <mergeCell ref="C21:C22"/>
    <mergeCell ref="J9:L10"/>
    <mergeCell ref="D15:D16"/>
    <mergeCell ref="J11:L12"/>
    <mergeCell ref="A33:B33"/>
    <mergeCell ref="A42:B42"/>
    <mergeCell ref="I19:L20"/>
    <mergeCell ref="A35:B35"/>
    <mergeCell ref="A61:B61"/>
    <mergeCell ref="A13:B14"/>
    <mergeCell ref="G27:L30"/>
    <mergeCell ref="I21:L22"/>
    <mergeCell ref="C25:C26"/>
    <mergeCell ref="A19:B20"/>
    <mergeCell ref="J13:L14"/>
    <mergeCell ref="G23:H24"/>
    <mergeCell ref="A21:B22"/>
    <mergeCell ref="D69:H70"/>
    <mergeCell ref="A53:B53"/>
    <mergeCell ref="A62:B62"/>
    <mergeCell ref="A39:B39"/>
    <mergeCell ref="A48:B48"/>
    <mergeCell ref="G25:L26"/>
    <mergeCell ref="A59:B59"/>
    <mergeCell ref="A45:B45"/>
    <mergeCell ref="A32:B32"/>
    <mergeCell ref="A50:B50"/>
    <mergeCell ref="A47:B47"/>
    <mergeCell ref="A34:B34"/>
    <mergeCell ref="A49:B49"/>
    <mergeCell ref="A36:B36"/>
    <mergeCell ref="A64:B64"/>
    <mergeCell ref="A63:B63"/>
    <mergeCell ref="I69:L70"/>
    <mergeCell ref="A67:C68"/>
    <mergeCell ref="A69:C70"/>
    <mergeCell ref="A9:B10"/>
    <mergeCell ref="E25:F26"/>
    <mergeCell ref="A55:B55"/>
    <mergeCell ref="I67:L68"/>
    <mergeCell ref="E21:F22"/>
    <mergeCell ref="C23:C24"/>
    <mergeCell ref="G21:H22"/>
    <mergeCell ref="A57:B57"/>
    <mergeCell ref="A65:L66"/>
    <mergeCell ref="E13:F14"/>
    <mergeCell ref="G15:I16"/>
    <mergeCell ref="A38:B38"/>
    <mergeCell ref="A43:B43"/>
    <mergeCell ref="E23:F24"/>
    <mergeCell ref="A40:B40"/>
    <mergeCell ref="A60:B60"/>
    <mergeCell ref="A23:B26"/>
    <mergeCell ref="A17:B18"/>
    <mergeCell ref="C11:C12"/>
    <mergeCell ref="I17:L18"/>
    <mergeCell ref="A51:B51"/>
    <mergeCell ref="D21:D22"/>
    <mergeCell ref="D67:H68"/>
    <mergeCell ref="A56:B56"/>
    <mergeCell ref="E7:H8"/>
    <mergeCell ref="A3:L4"/>
    <mergeCell ref="C13:C14"/>
    <mergeCell ref="D19:D20"/>
    <mergeCell ref="A5:L6"/>
    <mergeCell ref="C15:C16"/>
    <mergeCell ref="A44:B44"/>
    <mergeCell ref="A29:C30"/>
    <mergeCell ref="A58:B58"/>
    <mergeCell ref="A15:B16"/>
    <mergeCell ref="D27:F30"/>
    <mergeCell ref="E15:F16"/>
    <mergeCell ref="D17:D18"/>
    <mergeCell ref="D11:D12"/>
    <mergeCell ref="J15:L16"/>
    <mergeCell ref="A11:B12"/>
    <mergeCell ref="E19:F20"/>
    <mergeCell ref="D23:D24"/>
    <mergeCell ref="G19:H20"/>
    <mergeCell ref="E9:F10"/>
    <mergeCell ref="G9:I10"/>
    <mergeCell ref="E11:F12"/>
    <mergeCell ref="G11:I12"/>
    <mergeCell ref="C9:C10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L70"/>
  <sheetViews>
    <sheetView zoomScale="55" zoomScaleNormal="55" workbookViewId="0">
      <selection activeCell="C32" sqref="C32:I64"/>
    </sheetView>
  </sheetViews>
  <sheetFormatPr defaultRowHeight="13.9" x14ac:dyDescent="0.4"/>
  <cols>
    <col min="1" max="3" width="9.0625" style="3" bestFit="1" customWidth="1"/>
    <col min="4" max="4" width="10.3125" style="3" bestFit="1" customWidth="1"/>
    <col min="5" max="12" width="9.0625" style="3" bestFit="1" customWidth="1"/>
    <col min="13" max="16384" width="9" style="3"/>
  </cols>
  <sheetData>
    <row r="1" spans="1:12" x14ac:dyDescent="0.4">
      <c r="A1" s="23">
        <v>1</v>
      </c>
      <c r="B1" s="2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2"/>
      <c r="G2" s="4"/>
      <c r="H2" s="4"/>
      <c r="I2" s="26"/>
      <c r="J2" s="4"/>
      <c r="K2" s="4"/>
      <c r="L2" s="4"/>
    </row>
    <row r="3" spans="1:12" x14ac:dyDescent="0.4">
      <c r="A3" s="241" t="s">
        <v>48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149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109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f>C64</f>
        <v>0</v>
      </c>
      <c r="D11" s="214">
        <v>2000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f>D64</f>
        <v>0</v>
      </c>
      <c r="D13" s="214">
        <v>14000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16000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4500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5000</v>
      </c>
      <c r="E19" s="214">
        <f>D19*C19</f>
        <v>0</v>
      </c>
      <c r="F19" s="146"/>
      <c r="G19" s="239" t="s">
        <v>150</v>
      </c>
      <c r="H19" s="146"/>
      <c r="I19" s="240" t="s">
        <v>151</v>
      </c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6500</v>
      </c>
      <c r="E21" s="214">
        <f>D21*C21</f>
        <v>0</v>
      </c>
      <c r="F21" s="146"/>
      <c r="G21" s="214" t="s">
        <v>18</v>
      </c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F64</f>
        <v>0</v>
      </c>
      <c r="D25" s="229">
        <v>3000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6" t="s">
        <v>9</v>
      </c>
      <c r="D32" s="7" t="s">
        <v>219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42"/>
      <c r="K33" s="42"/>
      <c r="L33" s="53">
        <f t="shared" ref="L33:L63" si="0">I33*6500+H33*5000+G33*4500-F33*3000+E33*16000+D33*14000+C33*2000</f>
        <v>0</v>
      </c>
    </row>
    <row r="34" spans="1:12" x14ac:dyDescent="0.4">
      <c r="A34" s="215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42"/>
      <c r="K47" s="42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42"/>
      <c r="K48" s="42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42"/>
      <c r="K49" s="42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42"/>
      <c r="K50" s="42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42"/>
      <c r="K51" s="42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42"/>
      <c r="K52" s="42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42"/>
      <c r="K53" s="42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42"/>
      <c r="K54" s="42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74">
        <f t="shared" ref="C64:I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89">
        <f t="shared" ref="J64:L64" si="2">SUM(J33:J63)</f>
        <v>0</v>
      </c>
      <c r="K64" s="89">
        <f t="shared" si="2"/>
        <v>0</v>
      </c>
      <c r="L64" s="98">
        <f t="shared" si="2"/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 t="s">
        <v>152</v>
      </c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I7:L8"/>
    <mergeCell ref="A54:B54"/>
    <mergeCell ref="A41:B41"/>
    <mergeCell ref="D13:D14"/>
    <mergeCell ref="A46:B46"/>
    <mergeCell ref="A37:B37"/>
    <mergeCell ref="G13:I14"/>
    <mergeCell ref="D9:D10"/>
    <mergeCell ref="C17:C18"/>
    <mergeCell ref="D25:D26"/>
    <mergeCell ref="A31:L31"/>
    <mergeCell ref="A27:C28"/>
    <mergeCell ref="I23:L24"/>
    <mergeCell ref="E17:F18"/>
    <mergeCell ref="C19:C20"/>
    <mergeCell ref="G17:H18"/>
    <mergeCell ref="A52:B52"/>
    <mergeCell ref="A7:D8"/>
    <mergeCell ref="C21:C22"/>
    <mergeCell ref="J9:L10"/>
    <mergeCell ref="D15:D16"/>
    <mergeCell ref="J11:L12"/>
    <mergeCell ref="A33:B33"/>
    <mergeCell ref="A42:B42"/>
    <mergeCell ref="I19:L20"/>
    <mergeCell ref="A35:B35"/>
    <mergeCell ref="A61:B61"/>
    <mergeCell ref="A13:B14"/>
    <mergeCell ref="G27:L30"/>
    <mergeCell ref="I21:L22"/>
    <mergeCell ref="C25:C26"/>
    <mergeCell ref="A19:B20"/>
    <mergeCell ref="J13:L14"/>
    <mergeCell ref="G23:H24"/>
    <mergeCell ref="A21:B22"/>
    <mergeCell ref="D69:H70"/>
    <mergeCell ref="A53:B53"/>
    <mergeCell ref="A62:B62"/>
    <mergeCell ref="A39:B39"/>
    <mergeCell ref="A48:B48"/>
    <mergeCell ref="G25:L26"/>
    <mergeCell ref="A59:B59"/>
    <mergeCell ref="A45:B45"/>
    <mergeCell ref="A32:B32"/>
    <mergeCell ref="A50:B50"/>
    <mergeCell ref="A47:B47"/>
    <mergeCell ref="A34:B34"/>
    <mergeCell ref="A49:B49"/>
    <mergeCell ref="A36:B36"/>
    <mergeCell ref="A64:B64"/>
    <mergeCell ref="A63:B63"/>
    <mergeCell ref="I69:L70"/>
    <mergeCell ref="A67:C68"/>
    <mergeCell ref="A69:C70"/>
    <mergeCell ref="A9:B10"/>
    <mergeCell ref="E25:F26"/>
    <mergeCell ref="A55:B55"/>
    <mergeCell ref="I67:L68"/>
    <mergeCell ref="E21:F22"/>
    <mergeCell ref="C23:C24"/>
    <mergeCell ref="G21:H22"/>
    <mergeCell ref="A57:B57"/>
    <mergeCell ref="A65:L66"/>
    <mergeCell ref="E13:F14"/>
    <mergeCell ref="G15:I16"/>
    <mergeCell ref="A38:B38"/>
    <mergeCell ref="A43:B43"/>
    <mergeCell ref="E23:F24"/>
    <mergeCell ref="A40:B40"/>
    <mergeCell ref="A60:B60"/>
    <mergeCell ref="A23:B26"/>
    <mergeCell ref="A17:B18"/>
    <mergeCell ref="C11:C12"/>
    <mergeCell ref="I17:L18"/>
    <mergeCell ref="A51:B51"/>
    <mergeCell ref="D21:D22"/>
    <mergeCell ref="D67:H68"/>
    <mergeCell ref="A56:B56"/>
    <mergeCell ref="E7:H8"/>
    <mergeCell ref="A3:L4"/>
    <mergeCell ref="C13:C14"/>
    <mergeCell ref="D19:D20"/>
    <mergeCell ref="A5:L6"/>
    <mergeCell ref="C15:C16"/>
    <mergeCell ref="A44:B44"/>
    <mergeCell ref="A29:C30"/>
    <mergeCell ref="A58:B58"/>
    <mergeCell ref="A15:B16"/>
    <mergeCell ref="D27:F30"/>
    <mergeCell ref="E15:F16"/>
    <mergeCell ref="D17:D18"/>
    <mergeCell ref="D11:D12"/>
    <mergeCell ref="J15:L16"/>
    <mergeCell ref="A11:B12"/>
    <mergeCell ref="E19:F20"/>
    <mergeCell ref="D23:D24"/>
    <mergeCell ref="G19:H20"/>
    <mergeCell ref="E9:F10"/>
    <mergeCell ref="G9:I10"/>
    <mergeCell ref="E11:F12"/>
    <mergeCell ref="G11:I12"/>
    <mergeCell ref="C9:C10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L70"/>
  <sheetViews>
    <sheetView zoomScale="55" zoomScaleNormal="55" workbookViewId="0">
      <selection activeCell="C32" sqref="C32:I64"/>
    </sheetView>
  </sheetViews>
  <sheetFormatPr defaultRowHeight="13.9" x14ac:dyDescent="0.4"/>
  <cols>
    <col min="1" max="3" width="9.0625" style="3" bestFit="1" customWidth="1"/>
    <col min="4" max="4" width="10.25" style="3" bestFit="1" customWidth="1"/>
    <col min="5" max="11" width="9.0625" style="3" bestFit="1" customWidth="1"/>
    <col min="12" max="12" width="9.25" style="3" bestFit="1" customWidth="1"/>
    <col min="13" max="16384" width="9" style="3"/>
  </cols>
  <sheetData>
    <row r="1" spans="1:12" x14ac:dyDescent="0.4">
      <c r="A1" s="23">
        <v>1</v>
      </c>
      <c r="B1" s="2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56"/>
      <c r="C2" s="56"/>
      <c r="D2" s="4"/>
      <c r="E2" s="4"/>
      <c r="F2" s="4"/>
      <c r="G2" s="56"/>
      <c r="H2" s="56"/>
      <c r="I2" s="57"/>
      <c r="J2" s="4"/>
      <c r="K2" s="4"/>
      <c r="L2" s="4"/>
    </row>
    <row r="3" spans="1:12" x14ac:dyDescent="0.4">
      <c r="A3" s="241" t="s">
        <v>48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153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115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f>C64</f>
        <v>0</v>
      </c>
      <c r="D11" s="214">
        <v>2000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f>D64</f>
        <v>0</v>
      </c>
      <c r="D13" s="214">
        <v>13000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15000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4500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4500</v>
      </c>
      <c r="E19" s="214">
        <f>D19*C19</f>
        <v>0</v>
      </c>
      <c r="F19" s="146"/>
      <c r="G19" s="239" t="s">
        <v>154</v>
      </c>
      <c r="H19" s="146"/>
      <c r="I19" s="240" t="s">
        <v>151</v>
      </c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5500</v>
      </c>
      <c r="E21" s="214">
        <f>D21*C21</f>
        <v>0</v>
      </c>
      <c r="F21" s="146"/>
      <c r="G21" s="214"/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F64</f>
        <v>0</v>
      </c>
      <c r="D25" s="229">
        <v>3000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I17-I21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6" t="s">
        <v>9</v>
      </c>
      <c r="D32" s="7" t="s">
        <v>219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42"/>
      <c r="K32" s="14"/>
      <c r="L32" s="2" t="s">
        <v>26</v>
      </c>
    </row>
    <row r="33" spans="1:12" x14ac:dyDescent="0.4">
      <c r="A33" s="215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42"/>
      <c r="K33" s="14"/>
      <c r="L33" s="53">
        <f t="shared" ref="L33:L63" si="0">I33*5500+H33*4500+G33*4500-F33*3000+E33*15000+D33*13000+C33*2000</f>
        <v>0</v>
      </c>
    </row>
    <row r="34" spans="1:12" x14ac:dyDescent="0.4">
      <c r="A34" s="215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42"/>
      <c r="K34" s="14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42"/>
      <c r="K35" s="14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42"/>
      <c r="K36" s="14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42"/>
      <c r="K37" s="14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42"/>
      <c r="K38" s="14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42"/>
      <c r="K41" s="14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42"/>
      <c r="K42" s="14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42"/>
      <c r="K43" s="14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42"/>
      <c r="K44" s="14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42"/>
      <c r="K45" s="14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42"/>
      <c r="K46" s="14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42"/>
      <c r="K47" s="14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42"/>
      <c r="K48" s="14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42"/>
      <c r="K49" s="14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42"/>
      <c r="K50" s="14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42"/>
      <c r="K51" s="14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42"/>
      <c r="K52" s="14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42"/>
      <c r="K53" s="14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42"/>
      <c r="K54" s="14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42"/>
      <c r="K55" s="14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42"/>
      <c r="K56" s="14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42"/>
      <c r="K57" s="14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42"/>
      <c r="K63" s="14"/>
      <c r="L63" s="53">
        <f t="shared" si="0"/>
        <v>0</v>
      </c>
    </row>
    <row r="64" spans="1:12" x14ac:dyDescent="0.4">
      <c r="A64" s="234" t="s">
        <v>26</v>
      </c>
      <c r="B64" s="115"/>
      <c r="C64" s="74">
        <f t="shared" ref="C64:I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89">
        <f t="shared" ref="J64:L64" si="2">SUM(J33:J63)</f>
        <v>0</v>
      </c>
      <c r="K64" s="89">
        <f t="shared" si="2"/>
        <v>0</v>
      </c>
      <c r="L64" s="98">
        <f t="shared" si="2"/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 t="s">
        <v>155</v>
      </c>
      <c r="E67" s="114"/>
      <c r="F67" s="114"/>
      <c r="G67" s="114"/>
      <c r="H67" s="115"/>
      <c r="I67" s="113" t="s">
        <v>156</v>
      </c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D69:H70"/>
    <mergeCell ref="J11:L12"/>
    <mergeCell ref="A33:B33"/>
    <mergeCell ref="A42:B42"/>
    <mergeCell ref="A53:B53"/>
    <mergeCell ref="I19:L20"/>
    <mergeCell ref="A35:B35"/>
    <mergeCell ref="A62:B62"/>
    <mergeCell ref="A39:B39"/>
    <mergeCell ref="A48:B48"/>
    <mergeCell ref="G25:L26"/>
    <mergeCell ref="A59:B59"/>
    <mergeCell ref="E15:F16"/>
    <mergeCell ref="A45:B45"/>
    <mergeCell ref="D17:D18"/>
    <mergeCell ref="D11:D12"/>
    <mergeCell ref="A61:B61"/>
    <mergeCell ref="A13:B14"/>
    <mergeCell ref="I69:L70"/>
    <mergeCell ref="G23:H24"/>
    <mergeCell ref="A65:L66"/>
    <mergeCell ref="E13:F14"/>
    <mergeCell ref="G15:I16"/>
    <mergeCell ref="A38:B38"/>
    <mergeCell ref="A43:B43"/>
    <mergeCell ref="E23:F24"/>
    <mergeCell ref="A40:B40"/>
    <mergeCell ref="A52:B52"/>
    <mergeCell ref="A69:C70"/>
    <mergeCell ref="I67:L68"/>
    <mergeCell ref="E21:F22"/>
    <mergeCell ref="A54:B54"/>
    <mergeCell ref="A36:B36"/>
    <mergeCell ref="A23:B26"/>
    <mergeCell ref="A27:C28"/>
    <mergeCell ref="A17:B18"/>
    <mergeCell ref="D21:D22"/>
    <mergeCell ref="A67:C68"/>
    <mergeCell ref="C25:C26"/>
    <mergeCell ref="A19:B20"/>
    <mergeCell ref="I21:L22"/>
    <mergeCell ref="A46:B46"/>
    <mergeCell ref="E25:F26"/>
    <mergeCell ref="A50:B50"/>
    <mergeCell ref="C9:C10"/>
    <mergeCell ref="A63:B63"/>
    <mergeCell ref="E19:F20"/>
    <mergeCell ref="D23:D24"/>
    <mergeCell ref="J15:L16"/>
    <mergeCell ref="A47:B47"/>
    <mergeCell ref="A11:B12"/>
    <mergeCell ref="A58:B58"/>
    <mergeCell ref="E11:F12"/>
    <mergeCell ref="G9:I10"/>
    <mergeCell ref="G19:H20"/>
    <mergeCell ref="A55:B55"/>
    <mergeCell ref="A49:B49"/>
    <mergeCell ref="A3:L4"/>
    <mergeCell ref="C13:C14"/>
    <mergeCell ref="D19:D20"/>
    <mergeCell ref="A5:L6"/>
    <mergeCell ref="C15:C16"/>
    <mergeCell ref="A44:B44"/>
    <mergeCell ref="A29:C30"/>
    <mergeCell ref="I7:L8"/>
    <mergeCell ref="E7:H8"/>
    <mergeCell ref="A15:B16"/>
    <mergeCell ref="D27:F30"/>
    <mergeCell ref="A32:B32"/>
    <mergeCell ref="C11:C12"/>
    <mergeCell ref="I17:L18"/>
    <mergeCell ref="E9:F10"/>
    <mergeCell ref="A34:B34"/>
    <mergeCell ref="G17:H18"/>
    <mergeCell ref="A7:D8"/>
    <mergeCell ref="A21:B22"/>
    <mergeCell ref="D9:D10"/>
    <mergeCell ref="A9:B10"/>
    <mergeCell ref="D67:H68"/>
    <mergeCell ref="J9:L10"/>
    <mergeCell ref="A56:B56"/>
    <mergeCell ref="A64:B64"/>
    <mergeCell ref="A51:B51"/>
    <mergeCell ref="C17:C18"/>
    <mergeCell ref="D25:D26"/>
    <mergeCell ref="A31:L31"/>
    <mergeCell ref="A57:B57"/>
    <mergeCell ref="A41:B41"/>
    <mergeCell ref="G27:L30"/>
    <mergeCell ref="D13:D14"/>
    <mergeCell ref="G13:I14"/>
    <mergeCell ref="D15:D16"/>
    <mergeCell ref="J13:L14"/>
    <mergeCell ref="A60:B60"/>
    <mergeCell ref="A37:B37"/>
    <mergeCell ref="G11:I12"/>
    <mergeCell ref="C21:C22"/>
    <mergeCell ref="I23:L24"/>
    <mergeCell ref="E17:F18"/>
    <mergeCell ref="C19:C20"/>
    <mergeCell ref="C23:C24"/>
    <mergeCell ref="G21:H22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L70"/>
  <sheetViews>
    <sheetView zoomScale="55" zoomScaleNormal="55" workbookViewId="0">
      <selection activeCell="D35" sqref="D35"/>
    </sheetView>
  </sheetViews>
  <sheetFormatPr defaultRowHeight="13.9" x14ac:dyDescent="0.4"/>
  <cols>
    <col min="1" max="16384" width="9" style="3"/>
  </cols>
  <sheetData>
    <row r="1" spans="1:12" x14ac:dyDescent="0.4">
      <c r="A1" s="31">
        <v>1</v>
      </c>
      <c r="B1" s="31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241" t="s">
        <v>111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157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115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f>C64</f>
        <v>0</v>
      </c>
      <c r="D11" s="214">
        <v>1900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f>D64</f>
        <v>0</v>
      </c>
      <c r="D13" s="214">
        <v>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0</v>
      </c>
      <c r="E19" s="214">
        <f>D19*C19</f>
        <v>0</v>
      </c>
      <c r="F19" s="146"/>
      <c r="G19" s="214" t="s">
        <v>16</v>
      </c>
      <c r="H19" s="146"/>
      <c r="I19" s="223"/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0</v>
      </c>
      <c r="E21" s="214">
        <f>D21*C21</f>
        <v>0</v>
      </c>
      <c r="F21" s="146"/>
      <c r="G21" s="214" t="s">
        <v>18</v>
      </c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F64</f>
        <v>0</v>
      </c>
      <c r="D25" s="229">
        <v>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I17+I19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43" t="s">
        <v>9</v>
      </c>
      <c r="D32" s="2"/>
      <c r="E32" s="2"/>
      <c r="F32" s="2"/>
      <c r="G32" s="2"/>
      <c r="H32" s="2"/>
      <c r="I32" s="2"/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48"/>
      <c r="D33" s="53"/>
      <c r="E33" s="53"/>
      <c r="F33" s="53"/>
      <c r="G33" s="53"/>
      <c r="H33" s="53"/>
      <c r="I33" s="53"/>
      <c r="J33" s="42"/>
      <c r="K33" s="42"/>
      <c r="L33" s="53">
        <f t="shared" ref="L33:L63" si="0">C33*1900</f>
        <v>0</v>
      </c>
    </row>
    <row r="34" spans="1:12" x14ac:dyDescent="0.4">
      <c r="A34" s="215" t="e">
        <f>#REF!</f>
        <v>#REF!</v>
      </c>
      <c r="B34" s="137"/>
      <c r="C34" s="48"/>
      <c r="D34" s="53"/>
      <c r="E34" s="53"/>
      <c r="F34" s="53"/>
      <c r="G34" s="53"/>
      <c r="H34" s="53"/>
      <c r="I34" s="53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48"/>
      <c r="D35" s="53"/>
      <c r="E35" s="53"/>
      <c r="F35" s="53"/>
      <c r="G35" s="53"/>
      <c r="H35" s="53"/>
      <c r="I35" s="53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48"/>
      <c r="D36" s="53"/>
      <c r="E36" s="53"/>
      <c r="F36" s="53"/>
      <c r="G36" s="53"/>
      <c r="H36" s="53"/>
      <c r="I36" s="53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48"/>
      <c r="D37" s="53"/>
      <c r="E37" s="53"/>
      <c r="F37" s="53"/>
      <c r="G37" s="53"/>
      <c r="H37" s="53"/>
      <c r="I37" s="53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48"/>
      <c r="D38" s="53"/>
      <c r="E38" s="53"/>
      <c r="F38" s="53"/>
      <c r="G38" s="53"/>
      <c r="H38" s="53"/>
      <c r="I38" s="53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48"/>
      <c r="D39" s="53"/>
      <c r="E39" s="53"/>
      <c r="F39" s="53"/>
      <c r="G39" s="53"/>
      <c r="H39" s="53"/>
      <c r="I39" s="53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48"/>
      <c r="D40" s="53"/>
      <c r="E40" s="53"/>
      <c r="F40" s="53"/>
      <c r="G40" s="53"/>
      <c r="H40" s="53"/>
      <c r="I40" s="53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48"/>
      <c r="D41" s="53"/>
      <c r="E41" s="53"/>
      <c r="F41" s="53"/>
      <c r="G41" s="53"/>
      <c r="H41" s="53"/>
      <c r="I41" s="53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48"/>
      <c r="D42" s="53"/>
      <c r="E42" s="53"/>
      <c r="F42" s="53"/>
      <c r="G42" s="53"/>
      <c r="H42" s="53"/>
      <c r="I42" s="53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48"/>
      <c r="D43" s="53"/>
      <c r="E43" s="53"/>
      <c r="F43" s="53"/>
      <c r="G43" s="53"/>
      <c r="H43" s="53"/>
      <c r="I43" s="53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48"/>
      <c r="D44" s="53"/>
      <c r="E44" s="53"/>
      <c r="F44" s="53"/>
      <c r="G44" s="53"/>
      <c r="H44" s="53"/>
      <c r="I44" s="53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48"/>
      <c r="D45" s="53"/>
      <c r="E45" s="53"/>
      <c r="F45" s="53"/>
      <c r="G45" s="53"/>
      <c r="H45" s="53"/>
      <c r="I45" s="53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48"/>
      <c r="D46" s="53"/>
      <c r="E46" s="53"/>
      <c r="F46" s="53"/>
      <c r="G46" s="53"/>
      <c r="H46" s="53"/>
      <c r="I46" s="53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48"/>
      <c r="D47" s="53"/>
      <c r="E47" s="53"/>
      <c r="F47" s="53"/>
      <c r="G47" s="53"/>
      <c r="H47" s="53"/>
      <c r="I47" s="53"/>
      <c r="J47" s="42"/>
      <c r="K47" s="42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48"/>
      <c r="D48" s="53"/>
      <c r="E48" s="53"/>
      <c r="F48" s="53"/>
      <c r="G48" s="53"/>
      <c r="H48" s="53"/>
      <c r="I48" s="53"/>
      <c r="J48" s="42"/>
      <c r="K48" s="42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48"/>
      <c r="D49" s="53"/>
      <c r="E49" s="53"/>
      <c r="F49" s="53"/>
      <c r="G49" s="53"/>
      <c r="H49" s="53"/>
      <c r="I49" s="53"/>
      <c r="J49" s="42"/>
      <c r="K49" s="42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48"/>
      <c r="D50" s="53"/>
      <c r="E50" s="53"/>
      <c r="F50" s="53"/>
      <c r="G50" s="53"/>
      <c r="H50" s="53"/>
      <c r="I50" s="53"/>
      <c r="J50" s="42"/>
      <c r="K50" s="42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48"/>
      <c r="D51" s="53"/>
      <c r="E51" s="53"/>
      <c r="F51" s="53"/>
      <c r="G51" s="53"/>
      <c r="H51" s="53"/>
      <c r="I51" s="53"/>
      <c r="J51" s="42"/>
      <c r="K51" s="42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48"/>
      <c r="D52" s="53"/>
      <c r="E52" s="53"/>
      <c r="F52" s="53"/>
      <c r="G52" s="53"/>
      <c r="H52" s="53"/>
      <c r="I52" s="53"/>
      <c r="J52" s="42"/>
      <c r="K52" s="42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48"/>
      <c r="D53" s="53"/>
      <c r="E53" s="53"/>
      <c r="F53" s="53"/>
      <c r="G53" s="53"/>
      <c r="H53" s="53"/>
      <c r="I53" s="53"/>
      <c r="J53" s="42"/>
      <c r="K53" s="42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48"/>
      <c r="D54" s="53"/>
      <c r="E54" s="53"/>
      <c r="F54" s="53"/>
      <c r="G54" s="53"/>
      <c r="H54" s="53"/>
      <c r="I54" s="53"/>
      <c r="J54" s="42"/>
      <c r="K54" s="42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48"/>
      <c r="D55" s="53"/>
      <c r="E55" s="53"/>
      <c r="F55" s="53"/>
      <c r="G55" s="53"/>
      <c r="H55" s="53"/>
      <c r="I55" s="53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48"/>
      <c r="D56" s="53"/>
      <c r="E56" s="53"/>
      <c r="F56" s="53"/>
      <c r="G56" s="53"/>
      <c r="H56" s="53"/>
      <c r="I56" s="53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48"/>
      <c r="D57" s="53"/>
      <c r="E57" s="53"/>
      <c r="F57" s="53"/>
      <c r="G57" s="53"/>
      <c r="H57" s="53"/>
      <c r="I57" s="53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48"/>
      <c r="D58" s="53"/>
      <c r="E58" s="53"/>
      <c r="F58" s="53"/>
      <c r="G58" s="53"/>
      <c r="H58" s="53"/>
      <c r="I58" s="53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48"/>
      <c r="D59" s="53"/>
      <c r="E59" s="53"/>
      <c r="F59" s="53"/>
      <c r="G59" s="53"/>
      <c r="H59" s="53"/>
      <c r="I59" s="53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48"/>
      <c r="D60" s="53"/>
      <c r="E60" s="53"/>
      <c r="F60" s="53"/>
      <c r="G60" s="53"/>
      <c r="H60" s="53"/>
      <c r="I60" s="53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48"/>
      <c r="D61" s="53"/>
      <c r="E61" s="53"/>
      <c r="F61" s="53"/>
      <c r="G61" s="53"/>
      <c r="H61" s="53"/>
      <c r="I61" s="53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48"/>
      <c r="D62" s="53"/>
      <c r="E62" s="53"/>
      <c r="F62" s="53"/>
      <c r="G62" s="53"/>
      <c r="H62" s="53"/>
      <c r="I62" s="53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48"/>
      <c r="D63" s="53"/>
      <c r="E63" s="53"/>
      <c r="F63" s="53"/>
      <c r="G63" s="53"/>
      <c r="H63" s="53"/>
      <c r="I63" s="53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90">
        <f>SUM(C33:C63)</f>
        <v>0</v>
      </c>
      <c r="D64" s="89"/>
      <c r="E64" s="89"/>
      <c r="F64" s="89"/>
      <c r="G64" s="89"/>
      <c r="H64" s="89"/>
      <c r="I64" s="89"/>
      <c r="J64" s="89"/>
      <c r="K64" s="89"/>
      <c r="L64" s="98">
        <f>SUM(L33:L63)</f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/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I7:L8"/>
    <mergeCell ref="A54:B54"/>
    <mergeCell ref="A41:B41"/>
    <mergeCell ref="D13:D14"/>
    <mergeCell ref="A46:B46"/>
    <mergeCell ref="A37:B37"/>
    <mergeCell ref="G13:I14"/>
    <mergeCell ref="D9:D10"/>
    <mergeCell ref="C17:C18"/>
    <mergeCell ref="D25:D26"/>
    <mergeCell ref="A31:L31"/>
    <mergeCell ref="A27:C28"/>
    <mergeCell ref="I23:L24"/>
    <mergeCell ref="E17:F18"/>
    <mergeCell ref="C19:C20"/>
    <mergeCell ref="G17:H18"/>
    <mergeCell ref="A52:B52"/>
    <mergeCell ref="A7:D8"/>
    <mergeCell ref="C21:C22"/>
    <mergeCell ref="J9:L10"/>
    <mergeCell ref="D15:D16"/>
    <mergeCell ref="J11:L12"/>
    <mergeCell ref="A33:B33"/>
    <mergeCell ref="A42:B42"/>
    <mergeCell ref="I19:L20"/>
    <mergeCell ref="A35:B35"/>
    <mergeCell ref="A61:B61"/>
    <mergeCell ref="A13:B14"/>
    <mergeCell ref="G27:L30"/>
    <mergeCell ref="I21:L22"/>
    <mergeCell ref="C25:C26"/>
    <mergeCell ref="A19:B20"/>
    <mergeCell ref="J13:L14"/>
    <mergeCell ref="G23:H24"/>
    <mergeCell ref="A21:B22"/>
    <mergeCell ref="D69:H70"/>
    <mergeCell ref="A53:B53"/>
    <mergeCell ref="A62:B62"/>
    <mergeCell ref="A39:B39"/>
    <mergeCell ref="A48:B48"/>
    <mergeCell ref="G25:L26"/>
    <mergeCell ref="A59:B59"/>
    <mergeCell ref="A45:B45"/>
    <mergeCell ref="A32:B32"/>
    <mergeCell ref="A50:B50"/>
    <mergeCell ref="A47:B47"/>
    <mergeCell ref="A34:B34"/>
    <mergeCell ref="A49:B49"/>
    <mergeCell ref="A36:B36"/>
    <mergeCell ref="A64:B64"/>
    <mergeCell ref="A63:B63"/>
    <mergeCell ref="I69:L70"/>
    <mergeCell ref="A67:C68"/>
    <mergeCell ref="A69:C70"/>
    <mergeCell ref="A9:B10"/>
    <mergeCell ref="E25:F26"/>
    <mergeCell ref="A55:B55"/>
    <mergeCell ref="I67:L68"/>
    <mergeCell ref="E21:F22"/>
    <mergeCell ref="C23:C24"/>
    <mergeCell ref="G21:H22"/>
    <mergeCell ref="A57:B57"/>
    <mergeCell ref="A65:L66"/>
    <mergeCell ref="E13:F14"/>
    <mergeCell ref="G15:I16"/>
    <mergeCell ref="A38:B38"/>
    <mergeCell ref="A43:B43"/>
    <mergeCell ref="E23:F24"/>
    <mergeCell ref="A40:B40"/>
    <mergeCell ref="A60:B60"/>
    <mergeCell ref="A23:B26"/>
    <mergeCell ref="A17:B18"/>
    <mergeCell ref="C11:C12"/>
    <mergeCell ref="I17:L18"/>
    <mergeCell ref="A51:B51"/>
    <mergeCell ref="D21:D22"/>
    <mergeCell ref="D67:H68"/>
    <mergeCell ref="A56:B56"/>
    <mergeCell ref="E7:H8"/>
    <mergeCell ref="A3:L4"/>
    <mergeCell ref="C13:C14"/>
    <mergeCell ref="D19:D20"/>
    <mergeCell ref="A5:L6"/>
    <mergeCell ref="C15:C16"/>
    <mergeCell ref="A44:B44"/>
    <mergeCell ref="A29:C30"/>
    <mergeCell ref="A58:B58"/>
    <mergeCell ref="A15:B16"/>
    <mergeCell ref="D27:F30"/>
    <mergeCell ref="E15:F16"/>
    <mergeCell ref="D17:D18"/>
    <mergeCell ref="D11:D12"/>
    <mergeCell ref="J15:L16"/>
    <mergeCell ref="A11:B12"/>
    <mergeCell ref="E19:F20"/>
    <mergeCell ref="D23:D24"/>
    <mergeCell ref="G19:H20"/>
    <mergeCell ref="E9:F10"/>
    <mergeCell ref="G9:I10"/>
    <mergeCell ref="E11:F12"/>
    <mergeCell ref="G11:I12"/>
    <mergeCell ref="C9:C10"/>
  </mergeCells>
  <phoneticPr fontId="1" type="noConversion"/>
  <pageMargins left="0.7" right="0.7" top="0.75" bottom="0.75" header="0.3" footer="0.3"/>
  <pageSetup paperSize="9" scale="74" fitToHeight="0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L70"/>
  <sheetViews>
    <sheetView zoomScale="55" zoomScaleNormal="55" workbookViewId="0">
      <selection activeCell="Q22" sqref="Q22"/>
    </sheetView>
  </sheetViews>
  <sheetFormatPr defaultRowHeight="13.9" x14ac:dyDescent="0.4"/>
  <cols>
    <col min="1" max="16384" width="9" style="3"/>
  </cols>
  <sheetData>
    <row r="1" spans="1:12" x14ac:dyDescent="0.4">
      <c r="A1" s="31">
        <v>1</v>
      </c>
      <c r="B1" s="2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241" t="s">
        <v>111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158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115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f>C64</f>
        <v>0</v>
      </c>
      <c r="D11" s="214">
        <v>1900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f>D64</f>
        <v>0</v>
      </c>
      <c r="D13" s="214">
        <v>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0</v>
      </c>
      <c r="E19" s="214">
        <f>D19*C19</f>
        <v>0</v>
      </c>
      <c r="F19" s="146"/>
      <c r="G19" s="226" t="s">
        <v>16</v>
      </c>
      <c r="H19" s="120"/>
      <c r="I19" s="236"/>
      <c r="J19" s="140"/>
      <c r="K19" s="140"/>
      <c r="L19" s="120"/>
    </row>
    <row r="20" spans="1:12" x14ac:dyDescent="0.4">
      <c r="A20" s="147"/>
      <c r="B20" s="148"/>
      <c r="C20" s="149"/>
      <c r="D20" s="149"/>
      <c r="E20" s="147"/>
      <c r="F20" s="148"/>
      <c r="G20" s="141"/>
      <c r="H20" s="144"/>
      <c r="I20" s="141"/>
      <c r="J20" s="142"/>
      <c r="K20" s="142"/>
      <c r="L20" s="144"/>
    </row>
    <row r="21" spans="1:12" x14ac:dyDescent="0.4">
      <c r="A21" s="214" t="s">
        <v>17</v>
      </c>
      <c r="B21" s="146"/>
      <c r="C21" s="214">
        <f>I64</f>
        <v>0</v>
      </c>
      <c r="D21" s="214">
        <v>0</v>
      </c>
      <c r="E21" s="214">
        <f>D21*C21</f>
        <v>0</v>
      </c>
      <c r="F21" s="146"/>
      <c r="G21" s="214" t="s">
        <v>18</v>
      </c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F64</f>
        <v>0</v>
      </c>
      <c r="D25" s="229">
        <v>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I17+I19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43" t="s">
        <v>9</v>
      </c>
      <c r="D32" s="2"/>
      <c r="E32" s="2"/>
      <c r="F32" s="2"/>
      <c r="G32" s="2"/>
      <c r="H32" s="2"/>
      <c r="I32" s="2"/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48"/>
      <c r="D33" s="53"/>
      <c r="E33" s="53"/>
      <c r="F33" s="53"/>
      <c r="G33" s="53"/>
      <c r="H33" s="53"/>
      <c r="I33" s="53"/>
      <c r="J33" s="42"/>
      <c r="K33" s="42"/>
      <c r="L33" s="53">
        <f t="shared" ref="L33:L63" si="0">C33*1900</f>
        <v>0</v>
      </c>
    </row>
    <row r="34" spans="1:12" x14ac:dyDescent="0.4">
      <c r="A34" s="215" t="e">
        <f>#REF!</f>
        <v>#REF!</v>
      </c>
      <c r="B34" s="137"/>
      <c r="C34" s="48"/>
      <c r="D34" s="53"/>
      <c r="E34" s="53"/>
      <c r="F34" s="53"/>
      <c r="G34" s="53"/>
      <c r="H34" s="53"/>
      <c r="I34" s="53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48"/>
      <c r="D35" s="53"/>
      <c r="E35" s="53"/>
      <c r="F35" s="53"/>
      <c r="G35" s="53"/>
      <c r="H35" s="53"/>
      <c r="I35" s="53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48"/>
      <c r="D36" s="53"/>
      <c r="E36" s="53"/>
      <c r="F36" s="53"/>
      <c r="G36" s="53"/>
      <c r="H36" s="53"/>
      <c r="I36" s="53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48"/>
      <c r="D37" s="53"/>
      <c r="E37" s="53"/>
      <c r="F37" s="53"/>
      <c r="G37" s="53"/>
      <c r="H37" s="53"/>
      <c r="I37" s="53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48"/>
      <c r="D38" s="53"/>
      <c r="E38" s="53"/>
      <c r="F38" s="53"/>
      <c r="G38" s="53"/>
      <c r="H38" s="53"/>
      <c r="I38" s="53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48"/>
      <c r="D39" s="53"/>
      <c r="E39" s="53"/>
      <c r="F39" s="53"/>
      <c r="G39" s="53"/>
      <c r="H39" s="53"/>
      <c r="I39" s="53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48"/>
      <c r="D40" s="53"/>
      <c r="E40" s="53"/>
      <c r="F40" s="53"/>
      <c r="G40" s="53"/>
      <c r="H40" s="53"/>
      <c r="I40" s="53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48"/>
      <c r="D41" s="53"/>
      <c r="E41" s="53"/>
      <c r="F41" s="53"/>
      <c r="G41" s="53"/>
      <c r="H41" s="53"/>
      <c r="I41" s="53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48"/>
      <c r="D42" s="53"/>
      <c r="E42" s="53"/>
      <c r="F42" s="53"/>
      <c r="G42" s="53"/>
      <c r="H42" s="53"/>
      <c r="I42" s="53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48"/>
      <c r="D43" s="53"/>
      <c r="E43" s="53"/>
      <c r="F43" s="53"/>
      <c r="G43" s="53"/>
      <c r="H43" s="53"/>
      <c r="I43" s="53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48"/>
      <c r="D44" s="53"/>
      <c r="E44" s="53"/>
      <c r="F44" s="53"/>
      <c r="G44" s="53"/>
      <c r="H44" s="53"/>
      <c r="I44" s="53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48"/>
      <c r="D45" s="53"/>
      <c r="E45" s="53"/>
      <c r="F45" s="53"/>
      <c r="G45" s="53"/>
      <c r="H45" s="53"/>
      <c r="I45" s="53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48"/>
      <c r="D46" s="53"/>
      <c r="E46" s="53"/>
      <c r="F46" s="53"/>
      <c r="G46" s="53"/>
      <c r="H46" s="53"/>
      <c r="I46" s="53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48"/>
      <c r="D47" s="53"/>
      <c r="E47" s="53"/>
      <c r="F47" s="53"/>
      <c r="G47" s="53"/>
      <c r="H47" s="53"/>
      <c r="I47" s="53"/>
      <c r="J47" s="42"/>
      <c r="K47" s="42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48"/>
      <c r="D48" s="53"/>
      <c r="E48" s="53"/>
      <c r="F48" s="53"/>
      <c r="G48" s="53"/>
      <c r="H48" s="53"/>
      <c r="I48" s="53"/>
      <c r="J48" s="42"/>
      <c r="K48" s="42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48"/>
      <c r="D49" s="53"/>
      <c r="E49" s="53"/>
      <c r="F49" s="53"/>
      <c r="G49" s="53"/>
      <c r="H49" s="53"/>
      <c r="I49" s="53"/>
      <c r="J49" s="42"/>
      <c r="K49" s="42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48"/>
      <c r="D50" s="53"/>
      <c r="E50" s="53"/>
      <c r="F50" s="53"/>
      <c r="G50" s="53"/>
      <c r="H50" s="53"/>
      <c r="I50" s="53"/>
      <c r="J50" s="42"/>
      <c r="K50" s="42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48"/>
      <c r="D51" s="53"/>
      <c r="E51" s="53"/>
      <c r="F51" s="53"/>
      <c r="G51" s="53"/>
      <c r="H51" s="53"/>
      <c r="I51" s="53"/>
      <c r="J51" s="42"/>
      <c r="K51" s="42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48"/>
      <c r="D52" s="53"/>
      <c r="E52" s="53"/>
      <c r="F52" s="53"/>
      <c r="G52" s="53"/>
      <c r="H52" s="53"/>
      <c r="I52" s="53"/>
      <c r="J52" s="42"/>
      <c r="K52" s="42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48"/>
      <c r="D53" s="53"/>
      <c r="E53" s="53"/>
      <c r="F53" s="53"/>
      <c r="G53" s="53"/>
      <c r="H53" s="53"/>
      <c r="I53" s="53"/>
      <c r="J53" s="42"/>
      <c r="K53" s="42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48"/>
      <c r="D54" s="53"/>
      <c r="E54" s="53"/>
      <c r="F54" s="53"/>
      <c r="G54" s="53"/>
      <c r="H54" s="53"/>
      <c r="I54" s="53"/>
      <c r="J54" s="42"/>
      <c r="K54" s="42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48"/>
      <c r="D55" s="53"/>
      <c r="E55" s="53"/>
      <c r="F55" s="53"/>
      <c r="G55" s="53"/>
      <c r="H55" s="53"/>
      <c r="I55" s="53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48"/>
      <c r="D56" s="53"/>
      <c r="E56" s="53"/>
      <c r="F56" s="53"/>
      <c r="G56" s="53"/>
      <c r="H56" s="53"/>
      <c r="I56" s="53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48"/>
      <c r="D57" s="53"/>
      <c r="E57" s="53"/>
      <c r="F57" s="53"/>
      <c r="G57" s="53"/>
      <c r="H57" s="53"/>
      <c r="I57" s="53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48"/>
      <c r="D58" s="53"/>
      <c r="E58" s="53"/>
      <c r="F58" s="53"/>
      <c r="G58" s="53"/>
      <c r="H58" s="53"/>
      <c r="I58" s="53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48"/>
      <c r="D59" s="53"/>
      <c r="E59" s="53"/>
      <c r="F59" s="53"/>
      <c r="G59" s="53"/>
      <c r="H59" s="53"/>
      <c r="I59" s="53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48"/>
      <c r="D60" s="53"/>
      <c r="E60" s="53"/>
      <c r="F60" s="53"/>
      <c r="G60" s="53"/>
      <c r="H60" s="53"/>
      <c r="I60" s="53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48"/>
      <c r="D61" s="53"/>
      <c r="E61" s="53"/>
      <c r="F61" s="53"/>
      <c r="G61" s="53"/>
      <c r="H61" s="53"/>
      <c r="I61" s="53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48"/>
      <c r="D62" s="53"/>
      <c r="E62" s="53"/>
      <c r="F62" s="53"/>
      <c r="G62" s="53"/>
      <c r="H62" s="53"/>
      <c r="I62" s="53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48"/>
      <c r="D63" s="53"/>
      <c r="E63" s="53"/>
      <c r="F63" s="53"/>
      <c r="G63" s="53"/>
      <c r="H63" s="53"/>
      <c r="I63" s="53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90">
        <f>SUM(C33:C63)</f>
        <v>0</v>
      </c>
      <c r="D64" s="89"/>
      <c r="E64" s="89"/>
      <c r="F64" s="89"/>
      <c r="G64" s="89"/>
      <c r="H64" s="89"/>
      <c r="I64" s="89"/>
      <c r="J64" s="89"/>
      <c r="K64" s="89"/>
      <c r="L64" s="98">
        <f>SUM(L33:L63)</f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 t="s">
        <v>159</v>
      </c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I7:L8"/>
    <mergeCell ref="A54:B54"/>
    <mergeCell ref="A41:B41"/>
    <mergeCell ref="D13:D14"/>
    <mergeCell ref="A46:B46"/>
    <mergeCell ref="A37:B37"/>
    <mergeCell ref="G13:I14"/>
    <mergeCell ref="D9:D10"/>
    <mergeCell ref="C17:C18"/>
    <mergeCell ref="D25:D26"/>
    <mergeCell ref="A31:L31"/>
    <mergeCell ref="A27:C28"/>
    <mergeCell ref="I23:L24"/>
    <mergeCell ref="E17:F18"/>
    <mergeCell ref="C19:C20"/>
    <mergeCell ref="G17:H18"/>
    <mergeCell ref="A52:B52"/>
    <mergeCell ref="A7:D8"/>
    <mergeCell ref="C21:C22"/>
    <mergeCell ref="J9:L10"/>
    <mergeCell ref="D15:D16"/>
    <mergeCell ref="J11:L12"/>
    <mergeCell ref="A33:B33"/>
    <mergeCell ref="A42:B42"/>
    <mergeCell ref="I19:L20"/>
    <mergeCell ref="A35:B35"/>
    <mergeCell ref="A61:B61"/>
    <mergeCell ref="A13:B14"/>
    <mergeCell ref="G27:L30"/>
    <mergeCell ref="I21:L22"/>
    <mergeCell ref="C25:C26"/>
    <mergeCell ref="A19:B20"/>
    <mergeCell ref="J13:L14"/>
    <mergeCell ref="G23:H24"/>
    <mergeCell ref="A21:B22"/>
    <mergeCell ref="D69:H70"/>
    <mergeCell ref="A53:B53"/>
    <mergeCell ref="A62:B62"/>
    <mergeCell ref="A39:B39"/>
    <mergeCell ref="A48:B48"/>
    <mergeCell ref="G25:L26"/>
    <mergeCell ref="A59:B59"/>
    <mergeCell ref="A45:B45"/>
    <mergeCell ref="A32:B32"/>
    <mergeCell ref="A50:B50"/>
    <mergeCell ref="A47:B47"/>
    <mergeCell ref="A34:B34"/>
    <mergeCell ref="A49:B49"/>
    <mergeCell ref="A36:B36"/>
    <mergeCell ref="A64:B64"/>
    <mergeCell ref="A63:B63"/>
    <mergeCell ref="I69:L70"/>
    <mergeCell ref="A67:C68"/>
    <mergeCell ref="A69:C70"/>
    <mergeCell ref="A9:B10"/>
    <mergeCell ref="E25:F26"/>
    <mergeCell ref="A55:B55"/>
    <mergeCell ref="I67:L68"/>
    <mergeCell ref="E21:F22"/>
    <mergeCell ref="C23:C24"/>
    <mergeCell ref="G21:H22"/>
    <mergeCell ref="A57:B57"/>
    <mergeCell ref="A65:L66"/>
    <mergeCell ref="E13:F14"/>
    <mergeCell ref="G15:I16"/>
    <mergeCell ref="A38:B38"/>
    <mergeCell ref="A43:B43"/>
    <mergeCell ref="E23:F24"/>
    <mergeCell ref="A40:B40"/>
    <mergeCell ref="A60:B60"/>
    <mergeCell ref="A23:B26"/>
    <mergeCell ref="A17:B18"/>
    <mergeCell ref="C11:C12"/>
    <mergeCell ref="I17:L18"/>
    <mergeCell ref="A51:B51"/>
    <mergeCell ref="D21:D22"/>
    <mergeCell ref="D67:H68"/>
    <mergeCell ref="A56:B56"/>
    <mergeCell ref="E7:H8"/>
    <mergeCell ref="A3:L4"/>
    <mergeCell ref="C13:C14"/>
    <mergeCell ref="D19:D20"/>
    <mergeCell ref="A5:L6"/>
    <mergeCell ref="C15:C16"/>
    <mergeCell ref="A44:B44"/>
    <mergeCell ref="A29:C30"/>
    <mergeCell ref="A58:B58"/>
    <mergeCell ref="A15:B16"/>
    <mergeCell ref="D27:F30"/>
    <mergeCell ref="E15:F16"/>
    <mergeCell ref="D17:D18"/>
    <mergeCell ref="D11:D12"/>
    <mergeCell ref="J15:L16"/>
    <mergeCell ref="A11:B12"/>
    <mergeCell ref="E19:F20"/>
    <mergeCell ref="D23:D24"/>
    <mergeCell ref="G19:H20"/>
    <mergeCell ref="E9:F10"/>
    <mergeCell ref="G9:I10"/>
    <mergeCell ref="E11:F12"/>
    <mergeCell ref="G11:I12"/>
    <mergeCell ref="C9:C10"/>
  </mergeCells>
  <phoneticPr fontId="1" type="noConversion"/>
  <pageMargins left="0.7" right="0.7" top="0.75" bottom="0.75" header="0.3" footer="0.3"/>
  <pageSetup paperSize="9" scale="74" fitToHeight="0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L70"/>
  <sheetViews>
    <sheetView zoomScale="55" zoomScaleNormal="55" workbookViewId="0">
      <selection activeCell="C32" sqref="C32"/>
    </sheetView>
  </sheetViews>
  <sheetFormatPr defaultRowHeight="13.9" x14ac:dyDescent="0.4"/>
  <cols>
    <col min="1" max="11" width="9.0625" style="3" bestFit="1" customWidth="1"/>
    <col min="12" max="12" width="9.1875" style="3" bestFit="1" customWidth="1"/>
    <col min="13" max="16384" width="9" style="3"/>
  </cols>
  <sheetData>
    <row r="1" spans="1:12" x14ac:dyDescent="0.4">
      <c r="A1" s="31">
        <v>1</v>
      </c>
      <c r="B1" s="31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241" t="s">
        <v>103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160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161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f>C64</f>
        <v>0</v>
      </c>
      <c r="D11" s="214">
        <v>1900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f>D64</f>
        <v>0</v>
      </c>
      <c r="D13" s="214">
        <v>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0</v>
      </c>
      <c r="E19" s="214">
        <f>D19*C19</f>
        <v>0</v>
      </c>
      <c r="F19" s="146"/>
      <c r="G19" s="214" t="s">
        <v>16</v>
      </c>
      <c r="H19" s="146"/>
      <c r="I19" s="223">
        <v>0</v>
      </c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0</v>
      </c>
      <c r="E21" s="214">
        <f>D21*C21</f>
        <v>0</v>
      </c>
      <c r="F21" s="146"/>
      <c r="G21" s="214" t="s">
        <v>18</v>
      </c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F64</f>
        <v>0</v>
      </c>
      <c r="D25" s="229">
        <v>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I17+I19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43" t="s">
        <v>9</v>
      </c>
      <c r="D32" s="2"/>
      <c r="E32" s="2"/>
      <c r="F32" s="2"/>
      <c r="G32" s="2"/>
      <c r="H32" s="2"/>
      <c r="I32" s="2"/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48"/>
      <c r="D33" s="53"/>
      <c r="E33" s="53"/>
      <c r="F33" s="53"/>
      <c r="G33" s="53"/>
      <c r="H33" s="53"/>
      <c r="I33" s="53"/>
      <c r="J33" s="42"/>
      <c r="K33" s="42"/>
      <c r="L33" s="53">
        <f t="shared" ref="L33:L63" si="0">C33*1900</f>
        <v>0</v>
      </c>
    </row>
    <row r="34" spans="1:12" x14ac:dyDescent="0.4">
      <c r="A34" s="215" t="e">
        <f>#REF!</f>
        <v>#REF!</v>
      </c>
      <c r="B34" s="137"/>
      <c r="C34" s="48"/>
      <c r="D34" s="53"/>
      <c r="E34" s="53"/>
      <c r="F34" s="53"/>
      <c r="G34" s="53"/>
      <c r="H34" s="53"/>
      <c r="I34" s="53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48"/>
      <c r="D35" s="53"/>
      <c r="E35" s="53"/>
      <c r="F35" s="53"/>
      <c r="G35" s="53"/>
      <c r="H35" s="53"/>
      <c r="I35" s="53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48"/>
      <c r="D36" s="53"/>
      <c r="E36" s="53"/>
      <c r="F36" s="53"/>
      <c r="G36" s="53"/>
      <c r="H36" s="53"/>
      <c r="I36" s="53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48"/>
      <c r="D37" s="53"/>
      <c r="E37" s="53"/>
      <c r="F37" s="53"/>
      <c r="G37" s="53"/>
      <c r="H37" s="53"/>
      <c r="I37" s="53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48"/>
      <c r="D38" s="53"/>
      <c r="E38" s="53"/>
      <c r="F38" s="53"/>
      <c r="G38" s="53"/>
      <c r="H38" s="53"/>
      <c r="I38" s="53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48"/>
      <c r="D39" s="53"/>
      <c r="E39" s="53"/>
      <c r="F39" s="53"/>
      <c r="G39" s="53"/>
      <c r="H39" s="53"/>
      <c r="I39" s="53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48"/>
      <c r="D40" s="53"/>
      <c r="E40" s="53"/>
      <c r="F40" s="53"/>
      <c r="G40" s="53"/>
      <c r="H40" s="53"/>
      <c r="I40" s="53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48"/>
      <c r="D41" s="53"/>
      <c r="E41" s="53"/>
      <c r="F41" s="53"/>
      <c r="G41" s="53"/>
      <c r="H41" s="53"/>
      <c r="I41" s="53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48"/>
      <c r="D42" s="53"/>
      <c r="E42" s="53"/>
      <c r="F42" s="53"/>
      <c r="G42" s="53"/>
      <c r="H42" s="53"/>
      <c r="I42" s="53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48"/>
      <c r="D43" s="53"/>
      <c r="E43" s="53"/>
      <c r="F43" s="53"/>
      <c r="G43" s="53"/>
      <c r="H43" s="53"/>
      <c r="I43" s="53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48"/>
      <c r="D44" s="53"/>
      <c r="E44" s="53"/>
      <c r="F44" s="53"/>
      <c r="G44" s="53"/>
      <c r="H44" s="53"/>
      <c r="I44" s="53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48"/>
      <c r="D45" s="53"/>
      <c r="E45" s="53"/>
      <c r="F45" s="53"/>
      <c r="G45" s="53"/>
      <c r="H45" s="53"/>
      <c r="I45" s="53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48"/>
      <c r="D46" s="53"/>
      <c r="E46" s="53"/>
      <c r="F46" s="53"/>
      <c r="G46" s="53"/>
      <c r="H46" s="53"/>
      <c r="I46" s="53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48"/>
      <c r="D47" s="53"/>
      <c r="E47" s="53"/>
      <c r="F47" s="53"/>
      <c r="G47" s="53"/>
      <c r="H47" s="53"/>
      <c r="I47" s="53"/>
      <c r="J47" s="42"/>
      <c r="K47" s="42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48"/>
      <c r="D48" s="53"/>
      <c r="E48" s="53"/>
      <c r="F48" s="53"/>
      <c r="G48" s="53"/>
      <c r="H48" s="53"/>
      <c r="I48" s="53"/>
      <c r="J48" s="42"/>
      <c r="K48" s="42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48"/>
      <c r="D49" s="53"/>
      <c r="E49" s="53"/>
      <c r="F49" s="53"/>
      <c r="G49" s="53"/>
      <c r="H49" s="53"/>
      <c r="I49" s="53"/>
      <c r="J49" s="42"/>
      <c r="K49" s="42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48"/>
      <c r="D50" s="53"/>
      <c r="E50" s="53"/>
      <c r="F50" s="53"/>
      <c r="G50" s="53"/>
      <c r="H50" s="53"/>
      <c r="I50" s="53"/>
      <c r="J50" s="42"/>
      <c r="K50" s="42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48"/>
      <c r="D51" s="53"/>
      <c r="E51" s="53"/>
      <c r="F51" s="53"/>
      <c r="G51" s="53"/>
      <c r="H51" s="53"/>
      <c r="I51" s="53"/>
      <c r="J51" s="42"/>
      <c r="K51" s="42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48"/>
      <c r="D52" s="53"/>
      <c r="E52" s="53"/>
      <c r="F52" s="53"/>
      <c r="G52" s="53"/>
      <c r="H52" s="53"/>
      <c r="I52" s="53"/>
      <c r="J52" s="42"/>
      <c r="K52" s="42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48"/>
      <c r="D53" s="53"/>
      <c r="E53" s="53"/>
      <c r="F53" s="53"/>
      <c r="G53" s="53"/>
      <c r="H53" s="53"/>
      <c r="I53" s="53"/>
      <c r="J53" s="42"/>
      <c r="K53" s="42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48"/>
      <c r="D54" s="53"/>
      <c r="E54" s="53"/>
      <c r="F54" s="53"/>
      <c r="G54" s="53"/>
      <c r="H54" s="53"/>
      <c r="I54" s="53"/>
      <c r="J54" s="42"/>
      <c r="K54" s="42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48"/>
      <c r="D55" s="53"/>
      <c r="E55" s="53"/>
      <c r="F55" s="53"/>
      <c r="G55" s="53"/>
      <c r="H55" s="53"/>
      <c r="I55" s="53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48"/>
      <c r="D56" s="53"/>
      <c r="E56" s="53"/>
      <c r="F56" s="53"/>
      <c r="G56" s="53"/>
      <c r="H56" s="53"/>
      <c r="I56" s="53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48"/>
      <c r="D57" s="53"/>
      <c r="E57" s="53"/>
      <c r="F57" s="53"/>
      <c r="G57" s="53"/>
      <c r="H57" s="53"/>
      <c r="I57" s="53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48"/>
      <c r="D58" s="53"/>
      <c r="E58" s="53"/>
      <c r="F58" s="53"/>
      <c r="G58" s="53"/>
      <c r="H58" s="53"/>
      <c r="I58" s="53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48"/>
      <c r="D59" s="53"/>
      <c r="E59" s="53"/>
      <c r="F59" s="53"/>
      <c r="G59" s="53"/>
      <c r="H59" s="53"/>
      <c r="I59" s="53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48"/>
      <c r="D60" s="53"/>
      <c r="E60" s="53"/>
      <c r="F60" s="53"/>
      <c r="G60" s="53"/>
      <c r="H60" s="53"/>
      <c r="I60" s="53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48"/>
      <c r="D61" s="53"/>
      <c r="E61" s="53"/>
      <c r="F61" s="53"/>
      <c r="G61" s="53"/>
      <c r="H61" s="53"/>
      <c r="I61" s="53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48"/>
      <c r="D62" s="53"/>
      <c r="E62" s="53"/>
      <c r="F62" s="53"/>
      <c r="G62" s="53"/>
      <c r="H62" s="53"/>
      <c r="I62" s="53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48"/>
      <c r="D63" s="53"/>
      <c r="E63" s="53"/>
      <c r="F63" s="53"/>
      <c r="G63" s="53"/>
      <c r="H63" s="53"/>
      <c r="I63" s="53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90">
        <f>SUM(C33:C63)</f>
        <v>0</v>
      </c>
      <c r="D64" s="89"/>
      <c r="E64" s="89"/>
      <c r="F64" s="89"/>
      <c r="G64" s="89"/>
      <c r="H64" s="89"/>
      <c r="I64" s="89"/>
      <c r="J64" s="89"/>
      <c r="K64" s="89"/>
      <c r="L64" s="98">
        <f>SUM(L33:L63)</f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 t="s">
        <v>162</v>
      </c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 t="s">
        <v>163</v>
      </c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I7:L8"/>
    <mergeCell ref="A54:B54"/>
    <mergeCell ref="A41:B41"/>
    <mergeCell ref="D13:D14"/>
    <mergeCell ref="A46:B46"/>
    <mergeCell ref="A37:B37"/>
    <mergeCell ref="G13:I14"/>
    <mergeCell ref="D9:D10"/>
    <mergeCell ref="C17:C18"/>
    <mergeCell ref="D25:D26"/>
    <mergeCell ref="A31:L31"/>
    <mergeCell ref="A27:C28"/>
    <mergeCell ref="I23:L24"/>
    <mergeCell ref="E17:F18"/>
    <mergeCell ref="C19:C20"/>
    <mergeCell ref="G17:H18"/>
    <mergeCell ref="A52:B52"/>
    <mergeCell ref="A7:D8"/>
    <mergeCell ref="C21:C22"/>
    <mergeCell ref="J9:L10"/>
    <mergeCell ref="D15:D16"/>
    <mergeCell ref="J11:L12"/>
    <mergeCell ref="A33:B33"/>
    <mergeCell ref="A42:B42"/>
    <mergeCell ref="I19:L20"/>
    <mergeCell ref="A35:B35"/>
    <mergeCell ref="A61:B61"/>
    <mergeCell ref="A13:B14"/>
    <mergeCell ref="G27:L30"/>
    <mergeCell ref="I21:L22"/>
    <mergeCell ref="C25:C26"/>
    <mergeCell ref="A19:B20"/>
    <mergeCell ref="J13:L14"/>
    <mergeCell ref="G23:H24"/>
    <mergeCell ref="A21:B22"/>
    <mergeCell ref="D69:H70"/>
    <mergeCell ref="A53:B53"/>
    <mergeCell ref="A62:B62"/>
    <mergeCell ref="A39:B39"/>
    <mergeCell ref="A48:B48"/>
    <mergeCell ref="G25:L26"/>
    <mergeCell ref="A59:B59"/>
    <mergeCell ref="A45:B45"/>
    <mergeCell ref="A32:B32"/>
    <mergeCell ref="A50:B50"/>
    <mergeCell ref="A47:B47"/>
    <mergeCell ref="A34:B34"/>
    <mergeCell ref="A49:B49"/>
    <mergeCell ref="A36:B36"/>
    <mergeCell ref="A64:B64"/>
    <mergeCell ref="A63:B63"/>
    <mergeCell ref="I69:L70"/>
    <mergeCell ref="A67:C68"/>
    <mergeCell ref="A69:C70"/>
    <mergeCell ref="A9:B10"/>
    <mergeCell ref="E25:F26"/>
    <mergeCell ref="A55:B55"/>
    <mergeCell ref="I67:L68"/>
    <mergeCell ref="E21:F22"/>
    <mergeCell ref="C23:C24"/>
    <mergeCell ref="G21:H22"/>
    <mergeCell ref="A57:B57"/>
    <mergeCell ref="A65:L66"/>
    <mergeCell ref="E13:F14"/>
    <mergeCell ref="G15:I16"/>
    <mergeCell ref="A38:B38"/>
    <mergeCell ref="A43:B43"/>
    <mergeCell ref="E23:F24"/>
    <mergeCell ref="A40:B40"/>
    <mergeCell ref="A60:B60"/>
    <mergeCell ref="A23:B26"/>
    <mergeCell ref="A17:B18"/>
    <mergeCell ref="C11:C12"/>
    <mergeCell ref="I17:L18"/>
    <mergeCell ref="A51:B51"/>
    <mergeCell ref="D21:D22"/>
    <mergeCell ref="D67:H68"/>
    <mergeCell ref="A56:B56"/>
    <mergeCell ref="E7:H8"/>
    <mergeCell ref="A3:L4"/>
    <mergeCell ref="C13:C14"/>
    <mergeCell ref="D19:D20"/>
    <mergeCell ref="A5:L6"/>
    <mergeCell ref="C15:C16"/>
    <mergeCell ref="A44:B44"/>
    <mergeCell ref="A29:C30"/>
    <mergeCell ref="A58:B58"/>
    <mergeCell ref="A15:B16"/>
    <mergeCell ref="D27:F30"/>
    <mergeCell ref="E15:F16"/>
    <mergeCell ref="D17:D18"/>
    <mergeCell ref="D11:D12"/>
    <mergeCell ref="J15:L16"/>
    <mergeCell ref="A11:B12"/>
    <mergeCell ref="E19:F20"/>
    <mergeCell ref="D23:D24"/>
    <mergeCell ref="G19:H20"/>
    <mergeCell ref="E9:F10"/>
    <mergeCell ref="G9:I10"/>
    <mergeCell ref="E11:F12"/>
    <mergeCell ref="G11:I12"/>
    <mergeCell ref="C9:C10"/>
  </mergeCells>
  <phoneticPr fontId="1" type="noConversion"/>
  <pageMargins left="0.7" right="0.7" top="0.75" bottom="0.75" header="0.3" footer="0.3"/>
  <pageSetup paperSize="9" scale="74" fitToHeight="0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L70"/>
  <sheetViews>
    <sheetView topLeftCell="A8" zoomScale="55" zoomScaleNormal="55" workbookViewId="0">
      <selection activeCell="L39" sqref="L39"/>
    </sheetView>
  </sheetViews>
  <sheetFormatPr defaultRowHeight="13.9" x14ac:dyDescent="0.4"/>
  <cols>
    <col min="1" max="16384" width="9" style="3"/>
  </cols>
  <sheetData>
    <row r="1" spans="1:12" x14ac:dyDescent="0.4">
      <c r="A1" s="31">
        <v>1</v>
      </c>
      <c r="B1" s="31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241" t="s">
        <v>111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164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84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f>C64</f>
        <v>0</v>
      </c>
      <c r="D11" s="214">
        <v>1900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f>D64</f>
        <v>0</v>
      </c>
      <c r="D13" s="214">
        <v>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0</v>
      </c>
      <c r="E19" s="214">
        <f>D19*C19</f>
        <v>0</v>
      </c>
      <c r="F19" s="146"/>
      <c r="G19" s="214" t="s">
        <v>16</v>
      </c>
      <c r="H19" s="146"/>
      <c r="I19" s="223"/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0</v>
      </c>
      <c r="E21" s="214">
        <f>D21*C21</f>
        <v>0</v>
      </c>
      <c r="F21" s="146"/>
      <c r="G21" s="214" t="s">
        <v>18</v>
      </c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F64</f>
        <v>0</v>
      </c>
      <c r="D25" s="229">
        <v>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I17+I19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6" t="s">
        <v>9</v>
      </c>
      <c r="D32" s="7" t="s">
        <v>219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42"/>
      <c r="K33" s="42"/>
      <c r="L33" s="53">
        <f t="shared" ref="L33:L63" si="0">C33*1900</f>
        <v>0</v>
      </c>
    </row>
    <row r="34" spans="1:12" x14ac:dyDescent="0.4">
      <c r="A34" s="215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42"/>
      <c r="K47" s="42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42"/>
      <c r="K48" s="42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42"/>
      <c r="K49" s="42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42"/>
      <c r="K50" s="42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42"/>
      <c r="K51" s="42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42"/>
      <c r="K52" s="42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42"/>
      <c r="K53" s="42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42"/>
      <c r="K54" s="42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74">
        <f t="shared" ref="C64:I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89"/>
      <c r="K64" s="89"/>
      <c r="L64" s="98">
        <f>SUM(L33:L63)</f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 t="s">
        <v>165</v>
      </c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I7:L8"/>
    <mergeCell ref="A54:B54"/>
    <mergeCell ref="A41:B41"/>
    <mergeCell ref="D13:D14"/>
    <mergeCell ref="A46:B46"/>
    <mergeCell ref="A37:B37"/>
    <mergeCell ref="G13:I14"/>
    <mergeCell ref="D9:D10"/>
    <mergeCell ref="C17:C18"/>
    <mergeCell ref="D25:D26"/>
    <mergeCell ref="A31:L31"/>
    <mergeCell ref="A27:C28"/>
    <mergeCell ref="I23:L24"/>
    <mergeCell ref="E17:F18"/>
    <mergeCell ref="C19:C20"/>
    <mergeCell ref="G17:H18"/>
    <mergeCell ref="A52:B52"/>
    <mergeCell ref="A7:D8"/>
    <mergeCell ref="C21:C22"/>
    <mergeCell ref="J9:L10"/>
    <mergeCell ref="D15:D16"/>
    <mergeCell ref="J11:L12"/>
    <mergeCell ref="A33:B33"/>
    <mergeCell ref="A42:B42"/>
    <mergeCell ref="I19:L20"/>
    <mergeCell ref="A35:B35"/>
    <mergeCell ref="A61:B61"/>
    <mergeCell ref="A13:B14"/>
    <mergeCell ref="G27:L30"/>
    <mergeCell ref="I21:L22"/>
    <mergeCell ref="C25:C26"/>
    <mergeCell ref="A19:B20"/>
    <mergeCell ref="J13:L14"/>
    <mergeCell ref="G23:H24"/>
    <mergeCell ref="A21:B22"/>
    <mergeCell ref="D69:H70"/>
    <mergeCell ref="A53:B53"/>
    <mergeCell ref="A62:B62"/>
    <mergeCell ref="A39:B39"/>
    <mergeCell ref="A48:B48"/>
    <mergeCell ref="G25:L26"/>
    <mergeCell ref="A59:B59"/>
    <mergeCell ref="A45:B45"/>
    <mergeCell ref="A32:B32"/>
    <mergeCell ref="A50:B50"/>
    <mergeCell ref="A47:B47"/>
    <mergeCell ref="A34:B34"/>
    <mergeCell ref="A49:B49"/>
    <mergeCell ref="A36:B36"/>
    <mergeCell ref="A64:B64"/>
    <mergeCell ref="A63:B63"/>
    <mergeCell ref="I69:L70"/>
    <mergeCell ref="A67:C68"/>
    <mergeCell ref="A69:C70"/>
    <mergeCell ref="A9:B10"/>
    <mergeCell ref="E25:F26"/>
    <mergeCell ref="A55:B55"/>
    <mergeCell ref="I67:L68"/>
    <mergeCell ref="E21:F22"/>
    <mergeCell ref="C23:C24"/>
    <mergeCell ref="G21:H22"/>
    <mergeCell ref="A57:B57"/>
    <mergeCell ref="A65:L66"/>
    <mergeCell ref="E13:F14"/>
    <mergeCell ref="G15:I16"/>
    <mergeCell ref="A38:B38"/>
    <mergeCell ref="A43:B43"/>
    <mergeCell ref="E23:F24"/>
    <mergeCell ref="A40:B40"/>
    <mergeCell ref="A60:B60"/>
    <mergeCell ref="A23:B26"/>
    <mergeCell ref="A17:B18"/>
    <mergeCell ref="C11:C12"/>
    <mergeCell ref="I17:L18"/>
    <mergeCell ref="A51:B51"/>
    <mergeCell ref="D21:D22"/>
    <mergeCell ref="D67:H68"/>
    <mergeCell ref="A56:B56"/>
    <mergeCell ref="E7:H8"/>
    <mergeCell ref="A3:L4"/>
    <mergeCell ref="C13:C14"/>
    <mergeCell ref="D19:D20"/>
    <mergeCell ref="A5:L6"/>
    <mergeCell ref="C15:C16"/>
    <mergeCell ref="A44:B44"/>
    <mergeCell ref="A29:C30"/>
    <mergeCell ref="A58:B58"/>
    <mergeCell ref="A15:B16"/>
    <mergeCell ref="D27:F30"/>
    <mergeCell ref="E15:F16"/>
    <mergeCell ref="D17:D18"/>
    <mergeCell ref="D11:D12"/>
    <mergeCell ref="J15:L16"/>
    <mergeCell ref="A11:B12"/>
    <mergeCell ref="E19:F20"/>
    <mergeCell ref="D23:D24"/>
    <mergeCell ref="G19:H20"/>
    <mergeCell ref="E9:F10"/>
    <mergeCell ref="G9:I10"/>
    <mergeCell ref="E11:F12"/>
    <mergeCell ref="G11:I12"/>
    <mergeCell ref="C9:C10"/>
  </mergeCells>
  <phoneticPr fontId="1" type="noConversion"/>
  <pageMargins left="0.7" right="0.7" top="0.75" bottom="0.75" header="0.3" footer="0.3"/>
  <pageSetup paperSize="9" scale="74" fitToHeight="0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L70"/>
  <sheetViews>
    <sheetView topLeftCell="A15" zoomScale="55" zoomScaleNormal="55" workbookViewId="0">
      <selection activeCell="C32" sqref="C32:L63"/>
    </sheetView>
  </sheetViews>
  <sheetFormatPr defaultRowHeight="13.9" x14ac:dyDescent="0.4"/>
  <cols>
    <col min="1" max="3" width="9.0625" style="3" bestFit="1" customWidth="1"/>
    <col min="4" max="4" width="10.25" style="3" bestFit="1" customWidth="1"/>
    <col min="5" max="12" width="9.0625" style="3" bestFit="1" customWidth="1"/>
    <col min="13" max="16384" width="9" style="3"/>
  </cols>
  <sheetData>
    <row r="1" spans="1:12" x14ac:dyDescent="0.4">
      <c r="A1" s="31">
        <v>1</v>
      </c>
      <c r="B1" s="31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243" t="s">
        <v>166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167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3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f>C64</f>
        <v>0</v>
      </c>
      <c r="D11" s="214">
        <v>1900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f>D64</f>
        <v>0</v>
      </c>
      <c r="D13" s="214">
        <v>13000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15000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4000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4500</v>
      </c>
      <c r="E19" s="214">
        <f>D19*C19</f>
        <v>0</v>
      </c>
      <c r="F19" s="146"/>
      <c r="G19" s="214"/>
      <c r="H19" s="146"/>
      <c r="I19" s="223"/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6000</v>
      </c>
      <c r="E21" s="214">
        <f>D21*C21</f>
        <v>0</v>
      </c>
      <c r="F21" s="146"/>
      <c r="G21" s="214" t="s">
        <v>18</v>
      </c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F64</f>
        <v>0</v>
      </c>
      <c r="D25" s="229">
        <v>3000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I17+I19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6" t="s">
        <v>9</v>
      </c>
      <c r="D32" s="7" t="s">
        <v>219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42"/>
      <c r="K33" s="42"/>
      <c r="L33" s="53">
        <f t="shared" ref="L33:L63" si="0">I33*6000+H33*4500+G33*4000-F33*3000+E33*15000+D33*13000+C33*1900</f>
        <v>0</v>
      </c>
    </row>
    <row r="34" spans="1:12" x14ac:dyDescent="0.4">
      <c r="A34" s="215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42"/>
      <c r="K47" s="42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42"/>
      <c r="K48" s="42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42"/>
      <c r="K49" s="42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42"/>
      <c r="K50" s="42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42"/>
      <c r="K51" s="42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42"/>
      <c r="K52" s="42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42"/>
      <c r="K53" s="42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42"/>
      <c r="K54" s="42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74">
        <f t="shared" ref="C64:I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89">
        <f t="shared" ref="J64:L64" si="2">SUM(J33:J63)</f>
        <v>0</v>
      </c>
      <c r="K64" s="89">
        <f t="shared" si="2"/>
        <v>0</v>
      </c>
      <c r="L64" s="98">
        <f t="shared" si="2"/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 t="s">
        <v>168</v>
      </c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I7:L8"/>
    <mergeCell ref="A54:B54"/>
    <mergeCell ref="A41:B41"/>
    <mergeCell ref="D13:D14"/>
    <mergeCell ref="A46:B46"/>
    <mergeCell ref="A37:B37"/>
    <mergeCell ref="G13:I14"/>
    <mergeCell ref="D9:D10"/>
    <mergeCell ref="C17:C18"/>
    <mergeCell ref="D25:D26"/>
    <mergeCell ref="A31:L31"/>
    <mergeCell ref="A27:C28"/>
    <mergeCell ref="I23:L24"/>
    <mergeCell ref="E17:F18"/>
    <mergeCell ref="C19:C20"/>
    <mergeCell ref="G17:H18"/>
    <mergeCell ref="A52:B52"/>
    <mergeCell ref="A7:D8"/>
    <mergeCell ref="C21:C22"/>
    <mergeCell ref="J9:L10"/>
    <mergeCell ref="D15:D16"/>
    <mergeCell ref="J11:L12"/>
    <mergeCell ref="A33:B33"/>
    <mergeCell ref="A42:B42"/>
    <mergeCell ref="I19:L20"/>
    <mergeCell ref="A35:B35"/>
    <mergeCell ref="A61:B61"/>
    <mergeCell ref="A13:B14"/>
    <mergeCell ref="G27:L30"/>
    <mergeCell ref="I21:L22"/>
    <mergeCell ref="C25:C26"/>
    <mergeCell ref="A19:B20"/>
    <mergeCell ref="J13:L14"/>
    <mergeCell ref="G23:H24"/>
    <mergeCell ref="A21:B22"/>
    <mergeCell ref="D69:H70"/>
    <mergeCell ref="A53:B53"/>
    <mergeCell ref="A62:B62"/>
    <mergeCell ref="A39:B39"/>
    <mergeCell ref="A48:B48"/>
    <mergeCell ref="G25:L26"/>
    <mergeCell ref="A59:B59"/>
    <mergeCell ref="A45:B45"/>
    <mergeCell ref="A32:B32"/>
    <mergeCell ref="A50:B50"/>
    <mergeCell ref="A47:B47"/>
    <mergeCell ref="A34:B34"/>
    <mergeCell ref="A49:B49"/>
    <mergeCell ref="A36:B36"/>
    <mergeCell ref="A64:B64"/>
    <mergeCell ref="A63:B63"/>
    <mergeCell ref="I69:L70"/>
    <mergeCell ref="A67:C68"/>
    <mergeCell ref="A69:C70"/>
    <mergeCell ref="A9:B10"/>
    <mergeCell ref="E25:F26"/>
    <mergeCell ref="A55:B55"/>
    <mergeCell ref="I67:L68"/>
    <mergeCell ref="E21:F22"/>
    <mergeCell ref="C23:C24"/>
    <mergeCell ref="G21:H22"/>
    <mergeCell ref="A57:B57"/>
    <mergeCell ref="A65:L66"/>
    <mergeCell ref="E13:F14"/>
    <mergeCell ref="G15:I16"/>
    <mergeCell ref="A38:B38"/>
    <mergeCell ref="A43:B43"/>
    <mergeCell ref="E23:F24"/>
    <mergeCell ref="A40:B40"/>
    <mergeCell ref="A60:B60"/>
    <mergeCell ref="A23:B26"/>
    <mergeCell ref="A17:B18"/>
    <mergeCell ref="C11:C12"/>
    <mergeCell ref="I17:L18"/>
    <mergeCell ref="A51:B51"/>
    <mergeCell ref="D21:D22"/>
    <mergeCell ref="D67:H68"/>
    <mergeCell ref="A56:B56"/>
    <mergeCell ref="E7:H8"/>
    <mergeCell ref="A3:L4"/>
    <mergeCell ref="C13:C14"/>
    <mergeCell ref="D19:D20"/>
    <mergeCell ref="A5:L6"/>
    <mergeCell ref="C15:C16"/>
    <mergeCell ref="A44:B44"/>
    <mergeCell ref="A29:C30"/>
    <mergeCell ref="A58:B58"/>
    <mergeCell ref="A15:B16"/>
    <mergeCell ref="D27:F30"/>
    <mergeCell ref="E15:F16"/>
    <mergeCell ref="D17:D18"/>
    <mergeCell ref="D11:D12"/>
    <mergeCell ref="J15:L16"/>
    <mergeCell ref="A11:B12"/>
    <mergeCell ref="E19:F20"/>
    <mergeCell ref="D23:D24"/>
    <mergeCell ref="G19:H20"/>
    <mergeCell ref="E9:F10"/>
    <mergeCell ref="G9:I10"/>
    <mergeCell ref="E11:F12"/>
    <mergeCell ref="G11:I12"/>
    <mergeCell ref="C9:C10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L70"/>
  <sheetViews>
    <sheetView zoomScale="55" zoomScaleNormal="55" workbookViewId="0">
      <selection activeCell="C32" sqref="C32:I64"/>
    </sheetView>
  </sheetViews>
  <sheetFormatPr defaultRowHeight="13.9" x14ac:dyDescent="0.4"/>
  <cols>
    <col min="1" max="3" width="9.0625" style="3" bestFit="1" customWidth="1"/>
    <col min="4" max="4" width="9.75" style="3" bestFit="1" customWidth="1"/>
    <col min="5" max="12" width="9.0625" style="3" bestFit="1" customWidth="1"/>
    <col min="13" max="16384" width="9" style="3"/>
  </cols>
  <sheetData>
    <row r="1" spans="1:12" x14ac:dyDescent="0.4">
      <c r="A1" s="31">
        <v>1</v>
      </c>
      <c r="B1" s="31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241" t="s">
        <v>169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170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73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f>C64</f>
        <v>0</v>
      </c>
      <c r="D11" s="214">
        <v>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f>D64</f>
        <v>0</v>
      </c>
      <c r="D13" s="214">
        <v>11000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v>0</v>
      </c>
      <c r="D15" s="214">
        <v>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v>0</v>
      </c>
      <c r="D17" s="214">
        <v>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v>0</v>
      </c>
      <c r="D19" s="214">
        <v>0</v>
      </c>
      <c r="E19" s="214">
        <f>D19*C19</f>
        <v>0</v>
      </c>
      <c r="F19" s="146"/>
      <c r="G19" s="214"/>
      <c r="H19" s="146"/>
      <c r="I19" s="223"/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v>0</v>
      </c>
      <c r="D21" s="214">
        <v>0</v>
      </c>
      <c r="E21" s="214">
        <f>D21*C21</f>
        <v>0</v>
      </c>
      <c r="F21" s="146"/>
      <c r="G21" s="214" t="s">
        <v>18</v>
      </c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F64</f>
        <v>0</v>
      </c>
      <c r="D25" s="229">
        <v>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I17+I19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6" t="s">
        <v>9</v>
      </c>
      <c r="D32" s="7" t="s">
        <v>219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42"/>
      <c r="K33" s="42"/>
      <c r="L33" s="53">
        <f t="shared" ref="L33:L63" si="0">D33*11000</f>
        <v>0</v>
      </c>
    </row>
    <row r="34" spans="1:12" x14ac:dyDescent="0.4">
      <c r="A34" s="215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42"/>
      <c r="K47" s="42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42"/>
      <c r="K48" s="42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42"/>
      <c r="K49" s="42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42"/>
      <c r="K50" s="42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42"/>
      <c r="K51" s="42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42"/>
      <c r="K52" s="42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42"/>
      <c r="K53" s="42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42"/>
      <c r="K54" s="42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42"/>
      <c r="K58" s="14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74">
        <f t="shared" ref="C64:I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89">
        <f t="shared" ref="J64:L64" si="2">SUM(J33:J63)</f>
        <v>0</v>
      </c>
      <c r="K64" s="89">
        <f t="shared" si="2"/>
        <v>0</v>
      </c>
      <c r="L64" s="98">
        <f t="shared" si="2"/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 t="s">
        <v>171</v>
      </c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A57:B57"/>
    <mergeCell ref="A15:B16"/>
    <mergeCell ref="C25:C26"/>
    <mergeCell ref="A19:B20"/>
    <mergeCell ref="E7:H8"/>
    <mergeCell ref="I7:L8"/>
    <mergeCell ref="A54:B54"/>
    <mergeCell ref="A41:B41"/>
    <mergeCell ref="D13:D14"/>
    <mergeCell ref="I21:L22"/>
    <mergeCell ref="A46:B46"/>
    <mergeCell ref="A37:B37"/>
    <mergeCell ref="G13:I14"/>
    <mergeCell ref="D9:D10"/>
    <mergeCell ref="C17:C18"/>
    <mergeCell ref="D25:D26"/>
    <mergeCell ref="E17:F18"/>
    <mergeCell ref="C19:C20"/>
    <mergeCell ref="G17:H18"/>
    <mergeCell ref="D67:H68"/>
    <mergeCell ref="G23:H24"/>
    <mergeCell ref="A65:L66"/>
    <mergeCell ref="E13:F14"/>
    <mergeCell ref="G15:I16"/>
    <mergeCell ref="A38:B38"/>
    <mergeCell ref="A43:B43"/>
    <mergeCell ref="E23:F24"/>
    <mergeCell ref="A40:B40"/>
    <mergeCell ref="I67:L68"/>
    <mergeCell ref="E21:F22"/>
    <mergeCell ref="A60:B60"/>
    <mergeCell ref="A23:B26"/>
    <mergeCell ref="A17:B18"/>
    <mergeCell ref="A63:B63"/>
    <mergeCell ref="E19:F20"/>
    <mergeCell ref="D23:D24"/>
    <mergeCell ref="A64:B64"/>
    <mergeCell ref="A50:B50"/>
    <mergeCell ref="A47:B47"/>
    <mergeCell ref="G19:H20"/>
    <mergeCell ref="A13:B14"/>
    <mergeCell ref="G27:L30"/>
    <mergeCell ref="A55:B55"/>
    <mergeCell ref="A3:L4"/>
    <mergeCell ref="C13:C14"/>
    <mergeCell ref="D19:D20"/>
    <mergeCell ref="A5:L6"/>
    <mergeCell ref="C15:C16"/>
    <mergeCell ref="A44:B44"/>
    <mergeCell ref="A29:C30"/>
    <mergeCell ref="A52:B52"/>
    <mergeCell ref="D11:D12"/>
    <mergeCell ref="G21:H22"/>
    <mergeCell ref="A7:D8"/>
    <mergeCell ref="C23:C24"/>
    <mergeCell ref="A27:C28"/>
    <mergeCell ref="I23:L24"/>
    <mergeCell ref="A56:B56"/>
    <mergeCell ref="D15:D16"/>
    <mergeCell ref="J11:L12"/>
    <mergeCell ref="A33:B33"/>
    <mergeCell ref="C9:C10"/>
    <mergeCell ref="A9:B10"/>
    <mergeCell ref="A34:B34"/>
    <mergeCell ref="A49:B49"/>
    <mergeCell ref="A36:B36"/>
    <mergeCell ref="J13:L14"/>
    <mergeCell ref="C11:C12"/>
    <mergeCell ref="I17:L18"/>
    <mergeCell ref="E15:F16"/>
    <mergeCell ref="D17:D18"/>
    <mergeCell ref="J15:L16"/>
    <mergeCell ref="A11:B12"/>
    <mergeCell ref="E9:F10"/>
    <mergeCell ref="G9:I10"/>
    <mergeCell ref="E11:F12"/>
    <mergeCell ref="G11:I12"/>
    <mergeCell ref="J9:L10"/>
    <mergeCell ref="A67:C68"/>
    <mergeCell ref="A69:C70"/>
    <mergeCell ref="E25:F26"/>
    <mergeCell ref="I69:L70"/>
    <mergeCell ref="A61:B61"/>
    <mergeCell ref="C21:C22"/>
    <mergeCell ref="D69:H70"/>
    <mergeCell ref="A42:B42"/>
    <mergeCell ref="I19:L20"/>
    <mergeCell ref="A53:B53"/>
    <mergeCell ref="A35:B35"/>
    <mergeCell ref="A62:B62"/>
    <mergeCell ref="A39:B39"/>
    <mergeCell ref="A48:B48"/>
    <mergeCell ref="G25:L26"/>
    <mergeCell ref="A59:B59"/>
    <mergeCell ref="A45:B45"/>
    <mergeCell ref="A32:B32"/>
    <mergeCell ref="A58:B58"/>
    <mergeCell ref="D27:F30"/>
    <mergeCell ref="A51:B51"/>
    <mergeCell ref="D21:D22"/>
    <mergeCell ref="A21:B22"/>
    <mergeCell ref="A31:L31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L70"/>
  <sheetViews>
    <sheetView topLeftCell="A11" zoomScale="55" zoomScaleNormal="55" workbookViewId="0">
      <selection activeCell="C19" sqref="C19:C20"/>
    </sheetView>
  </sheetViews>
  <sheetFormatPr defaultRowHeight="13.9" x14ac:dyDescent="0.4"/>
  <cols>
    <col min="1" max="3" width="9.0625" style="3" bestFit="1" customWidth="1"/>
    <col min="4" max="4" width="10.25" style="3" bestFit="1" customWidth="1"/>
    <col min="5" max="12" width="9.0625" style="3" bestFit="1" customWidth="1"/>
    <col min="13" max="16384" width="9" style="3"/>
  </cols>
  <sheetData>
    <row r="1" spans="1:12" x14ac:dyDescent="0.4">
      <c r="A1" s="31">
        <v>2</v>
      </c>
      <c r="B1" s="31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241" t="s">
        <v>172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173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115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v>0</v>
      </c>
      <c r="D11" s="214">
        <v>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v>0</v>
      </c>
      <c r="D13" s="214">
        <v>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13000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4500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0</v>
      </c>
      <c r="E19" s="214">
        <f>D19*C19</f>
        <v>0</v>
      </c>
      <c r="F19" s="146"/>
      <c r="G19" s="214" t="s">
        <v>16</v>
      </c>
      <c r="H19" s="146"/>
      <c r="I19" s="223"/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0</v>
      </c>
      <c r="E21" s="214">
        <f>D21*C21</f>
        <v>0</v>
      </c>
      <c r="F21" s="146"/>
      <c r="G21" s="214" t="s">
        <v>18</v>
      </c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ht="14.25" thickBot="1" x14ac:dyDescent="0.45">
      <c r="A23" s="248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51"/>
      <c r="H23" s="146"/>
      <c r="I23" s="254"/>
      <c r="J23" s="151"/>
      <c r="K23" s="151"/>
      <c r="L23" s="146"/>
    </row>
    <row r="24" spans="1:12" ht="17.25" customHeight="1" thickBot="1" x14ac:dyDescent="0.45">
      <c r="A24" s="153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3"/>
      <c r="B25" s="166"/>
      <c r="C25" s="214">
        <f>F64</f>
        <v>0</v>
      </c>
      <c r="D25" s="229">
        <v>0</v>
      </c>
      <c r="E25" s="247">
        <f>D25*C25</f>
        <v>0</v>
      </c>
      <c r="F25" s="151"/>
      <c r="G25" s="249" t="s">
        <v>20</v>
      </c>
      <c r="H25" s="209"/>
      <c r="I25" s="209"/>
      <c r="J25" s="209"/>
      <c r="K25" s="209"/>
      <c r="L25" s="210"/>
    </row>
    <row r="26" spans="1:12" x14ac:dyDescent="0.4">
      <c r="A26" s="154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52" t="s">
        <v>21</v>
      </c>
      <c r="B27" s="151"/>
      <c r="C27" s="146"/>
      <c r="D27" s="246">
        <f>E15+E17</f>
        <v>0</v>
      </c>
      <c r="E27" s="151"/>
      <c r="F27" s="151"/>
      <c r="G27" s="250">
        <f>I17+I19</f>
        <v>0</v>
      </c>
      <c r="H27" s="199"/>
      <c r="I27" s="199"/>
      <c r="J27" s="199"/>
      <c r="K27" s="199"/>
      <c r="L27" s="200"/>
    </row>
    <row r="28" spans="1:12" x14ac:dyDescent="0.4">
      <c r="A28" s="253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44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245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6" t="s">
        <v>9</v>
      </c>
      <c r="D32" s="7" t="s">
        <v>219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42"/>
      <c r="K33" s="42"/>
      <c r="L33" s="53">
        <f t="shared" ref="L33:L63" si="0">G33*4500+E33*13000</f>
        <v>0</v>
      </c>
    </row>
    <row r="34" spans="1:12" x14ac:dyDescent="0.4">
      <c r="A34" s="215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42"/>
      <c r="K47" s="42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42"/>
      <c r="K48" s="42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42"/>
      <c r="K49" s="42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42"/>
      <c r="K50" s="42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42"/>
      <c r="K51" s="42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42"/>
      <c r="K52" s="42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42"/>
      <c r="K53" s="42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42"/>
      <c r="K54" s="42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74">
        <f t="shared" ref="C64:I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89"/>
      <c r="K64" s="89"/>
      <c r="L64" s="98">
        <f>SUM(L33:L63)</f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 t="s">
        <v>173</v>
      </c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I7:L8"/>
    <mergeCell ref="A54:B54"/>
    <mergeCell ref="A41:B41"/>
    <mergeCell ref="D13:D14"/>
    <mergeCell ref="A46:B46"/>
    <mergeCell ref="A37:B37"/>
    <mergeCell ref="G13:I14"/>
    <mergeCell ref="D9:D10"/>
    <mergeCell ref="C17:C18"/>
    <mergeCell ref="D25:D26"/>
    <mergeCell ref="A31:L31"/>
    <mergeCell ref="A27:C28"/>
    <mergeCell ref="I23:L24"/>
    <mergeCell ref="E17:F18"/>
    <mergeCell ref="C19:C20"/>
    <mergeCell ref="G17:H18"/>
    <mergeCell ref="A52:B52"/>
    <mergeCell ref="A7:D8"/>
    <mergeCell ref="C21:C22"/>
    <mergeCell ref="J9:L10"/>
    <mergeCell ref="D15:D16"/>
    <mergeCell ref="J11:L12"/>
    <mergeCell ref="A33:B33"/>
    <mergeCell ref="A42:B42"/>
    <mergeCell ref="I19:L20"/>
    <mergeCell ref="A35:B35"/>
    <mergeCell ref="A61:B61"/>
    <mergeCell ref="A13:B14"/>
    <mergeCell ref="G27:L30"/>
    <mergeCell ref="I21:L22"/>
    <mergeCell ref="C25:C26"/>
    <mergeCell ref="A19:B20"/>
    <mergeCell ref="J13:L14"/>
    <mergeCell ref="G23:H24"/>
    <mergeCell ref="A21:B22"/>
    <mergeCell ref="D69:H70"/>
    <mergeCell ref="A53:B53"/>
    <mergeCell ref="A62:B62"/>
    <mergeCell ref="A39:B39"/>
    <mergeCell ref="A48:B48"/>
    <mergeCell ref="G25:L26"/>
    <mergeCell ref="A59:B59"/>
    <mergeCell ref="A45:B45"/>
    <mergeCell ref="A32:B32"/>
    <mergeCell ref="A50:B50"/>
    <mergeCell ref="A47:B47"/>
    <mergeCell ref="A34:B34"/>
    <mergeCell ref="A49:B49"/>
    <mergeCell ref="A36:B36"/>
    <mergeCell ref="A64:B64"/>
    <mergeCell ref="A63:B63"/>
    <mergeCell ref="I69:L70"/>
    <mergeCell ref="A67:C68"/>
    <mergeCell ref="A69:C70"/>
    <mergeCell ref="A9:B10"/>
    <mergeCell ref="E25:F26"/>
    <mergeCell ref="A55:B55"/>
    <mergeCell ref="I67:L68"/>
    <mergeCell ref="E21:F22"/>
    <mergeCell ref="C23:C24"/>
    <mergeCell ref="G21:H22"/>
    <mergeCell ref="A57:B57"/>
    <mergeCell ref="A65:L66"/>
    <mergeCell ref="E13:F14"/>
    <mergeCell ref="G15:I16"/>
    <mergeCell ref="A38:B38"/>
    <mergeCell ref="A43:B43"/>
    <mergeCell ref="E23:F24"/>
    <mergeCell ref="A40:B40"/>
    <mergeCell ref="A60:B60"/>
    <mergeCell ref="A23:B26"/>
    <mergeCell ref="A17:B18"/>
    <mergeCell ref="C11:C12"/>
    <mergeCell ref="I17:L18"/>
    <mergeCell ref="A51:B51"/>
    <mergeCell ref="D21:D22"/>
    <mergeCell ref="D67:H68"/>
    <mergeCell ref="A56:B56"/>
    <mergeCell ref="E7:H8"/>
    <mergeCell ref="A3:L4"/>
    <mergeCell ref="C13:C14"/>
    <mergeCell ref="D19:D20"/>
    <mergeCell ref="A5:L6"/>
    <mergeCell ref="C15:C16"/>
    <mergeCell ref="A44:B44"/>
    <mergeCell ref="A29:C30"/>
    <mergeCell ref="A58:B58"/>
    <mergeCell ref="A15:B16"/>
    <mergeCell ref="D27:F30"/>
    <mergeCell ref="E15:F16"/>
    <mergeCell ref="D17:D18"/>
    <mergeCell ref="D11:D12"/>
    <mergeCell ref="J15:L16"/>
    <mergeCell ref="A11:B12"/>
    <mergeCell ref="E19:F20"/>
    <mergeCell ref="D23:D24"/>
    <mergeCell ref="G19:H20"/>
    <mergeCell ref="E9:F10"/>
    <mergeCell ref="G9:I10"/>
    <mergeCell ref="E11:F12"/>
    <mergeCell ref="G11:I12"/>
    <mergeCell ref="C9:C10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L70"/>
  <sheetViews>
    <sheetView topLeftCell="A2" zoomScale="55" zoomScaleNormal="55" workbookViewId="0">
      <selection activeCell="L33" sqref="L33:L63"/>
    </sheetView>
  </sheetViews>
  <sheetFormatPr defaultRowHeight="13.9" x14ac:dyDescent="0.4"/>
  <cols>
    <col min="1" max="3" width="9.0625" style="3" bestFit="1" customWidth="1"/>
    <col min="4" max="4" width="10.25" style="3" bestFit="1" customWidth="1"/>
    <col min="5" max="12" width="9.0625" style="3" bestFit="1" customWidth="1"/>
    <col min="13" max="16384" width="9" style="3"/>
  </cols>
  <sheetData>
    <row r="1" spans="1:12" x14ac:dyDescent="0.4">
      <c r="A1" s="31">
        <v>1</v>
      </c>
      <c r="B1" s="31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55"/>
      <c r="F2" s="4"/>
      <c r="G2" s="4"/>
      <c r="H2" s="4"/>
      <c r="I2" s="4"/>
      <c r="J2" s="4"/>
      <c r="K2" s="4"/>
      <c r="L2" s="4"/>
    </row>
    <row r="3" spans="1:12" x14ac:dyDescent="0.4">
      <c r="A3" s="241" t="s">
        <v>48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174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111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v>0</v>
      </c>
      <c r="D11" s="214">
        <v>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v>0</v>
      </c>
      <c r="D13" s="214">
        <v>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C64</f>
        <v>0</v>
      </c>
      <c r="D15" s="214">
        <v>13000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0</v>
      </c>
      <c r="E19" s="214">
        <f>D19*C19</f>
        <v>0</v>
      </c>
      <c r="F19" s="146"/>
      <c r="G19" s="214" t="s">
        <v>154</v>
      </c>
      <c r="H19" s="146"/>
      <c r="I19" s="223">
        <v>0</v>
      </c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0</v>
      </c>
      <c r="E21" s="214">
        <f>D21*C21</f>
        <v>0</v>
      </c>
      <c r="F21" s="146"/>
      <c r="G21" s="214" t="s">
        <v>18</v>
      </c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ht="14.25" thickBot="1" x14ac:dyDescent="0.45">
      <c r="A23" s="248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51"/>
      <c r="H23" s="146"/>
      <c r="I23" s="254"/>
      <c r="J23" s="151"/>
      <c r="K23" s="151"/>
      <c r="L23" s="146"/>
    </row>
    <row r="24" spans="1:12" ht="17.25" customHeight="1" thickBot="1" x14ac:dyDescent="0.45">
      <c r="A24" s="153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3"/>
      <c r="B25" s="166"/>
      <c r="C25" s="214">
        <f>D64</f>
        <v>0</v>
      </c>
      <c r="D25" s="229">
        <v>0</v>
      </c>
      <c r="E25" s="247">
        <f>D25*C25</f>
        <v>0</v>
      </c>
      <c r="F25" s="151"/>
      <c r="G25" s="249" t="s">
        <v>20</v>
      </c>
      <c r="H25" s="209"/>
      <c r="I25" s="209"/>
      <c r="J25" s="209"/>
      <c r="K25" s="209"/>
      <c r="L25" s="210"/>
    </row>
    <row r="26" spans="1:12" x14ac:dyDescent="0.4">
      <c r="A26" s="154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52" t="s">
        <v>21</v>
      </c>
      <c r="B27" s="151"/>
      <c r="C27" s="146"/>
      <c r="D27" s="246">
        <f>E11+E13+E15+E17+E19+E21-E25</f>
        <v>0</v>
      </c>
      <c r="E27" s="151"/>
      <c r="F27" s="151"/>
      <c r="G27" s="250">
        <f>I19+I17</f>
        <v>0</v>
      </c>
      <c r="H27" s="199"/>
      <c r="I27" s="199"/>
      <c r="J27" s="199"/>
      <c r="K27" s="199"/>
      <c r="L27" s="200"/>
    </row>
    <row r="28" spans="1:12" x14ac:dyDescent="0.4">
      <c r="A28" s="253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44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245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6" t="s">
        <v>9</v>
      </c>
      <c r="D32" s="7" t="s">
        <v>34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42"/>
      <c r="K33" s="42"/>
      <c r="L33" s="53">
        <f t="shared" ref="L33:L63" si="0">E33*13000</f>
        <v>0</v>
      </c>
    </row>
    <row r="34" spans="1:12" x14ac:dyDescent="0.4">
      <c r="A34" s="215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42"/>
      <c r="K47" s="42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42"/>
      <c r="K48" s="42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42"/>
      <c r="K49" s="42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42"/>
      <c r="K50" s="42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42"/>
      <c r="K51" s="42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42"/>
      <c r="K52" s="42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42"/>
      <c r="K53" s="42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42"/>
      <c r="K54" s="42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74">
        <f t="shared" ref="C64:I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89"/>
      <c r="K64" s="89"/>
      <c r="L64" s="98">
        <f>SUM(L33:L63)</f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 t="s">
        <v>175</v>
      </c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I7:L8"/>
    <mergeCell ref="A54:B54"/>
    <mergeCell ref="A41:B41"/>
    <mergeCell ref="D13:D14"/>
    <mergeCell ref="A46:B46"/>
    <mergeCell ref="A37:B37"/>
    <mergeCell ref="G13:I14"/>
    <mergeCell ref="D9:D10"/>
    <mergeCell ref="C17:C18"/>
    <mergeCell ref="D25:D26"/>
    <mergeCell ref="A31:L31"/>
    <mergeCell ref="A27:C28"/>
    <mergeCell ref="I23:L24"/>
    <mergeCell ref="E17:F18"/>
    <mergeCell ref="C19:C20"/>
    <mergeCell ref="G17:H18"/>
    <mergeCell ref="A52:B52"/>
    <mergeCell ref="A7:D8"/>
    <mergeCell ref="C21:C22"/>
    <mergeCell ref="J9:L10"/>
    <mergeCell ref="D15:D16"/>
    <mergeCell ref="J11:L12"/>
    <mergeCell ref="A33:B33"/>
    <mergeCell ref="A42:B42"/>
    <mergeCell ref="I19:L20"/>
    <mergeCell ref="A35:B35"/>
    <mergeCell ref="A61:B61"/>
    <mergeCell ref="A13:B14"/>
    <mergeCell ref="G27:L30"/>
    <mergeCell ref="I21:L22"/>
    <mergeCell ref="C25:C26"/>
    <mergeCell ref="A19:B20"/>
    <mergeCell ref="J13:L14"/>
    <mergeCell ref="G23:H24"/>
    <mergeCell ref="A21:B22"/>
    <mergeCell ref="D69:H70"/>
    <mergeCell ref="A53:B53"/>
    <mergeCell ref="A62:B62"/>
    <mergeCell ref="A39:B39"/>
    <mergeCell ref="A48:B48"/>
    <mergeCell ref="G25:L26"/>
    <mergeCell ref="A59:B59"/>
    <mergeCell ref="A45:B45"/>
    <mergeCell ref="A32:B32"/>
    <mergeCell ref="A50:B50"/>
    <mergeCell ref="A47:B47"/>
    <mergeCell ref="A34:B34"/>
    <mergeCell ref="A49:B49"/>
    <mergeCell ref="A36:B36"/>
    <mergeCell ref="A64:B64"/>
    <mergeCell ref="A63:B63"/>
    <mergeCell ref="I69:L70"/>
    <mergeCell ref="A67:C68"/>
    <mergeCell ref="A69:C70"/>
    <mergeCell ref="A9:B10"/>
    <mergeCell ref="E25:F26"/>
    <mergeCell ref="A55:B55"/>
    <mergeCell ref="I67:L68"/>
    <mergeCell ref="E21:F22"/>
    <mergeCell ref="C23:C24"/>
    <mergeCell ref="G21:H22"/>
    <mergeCell ref="A57:B57"/>
    <mergeCell ref="A65:L66"/>
    <mergeCell ref="E13:F14"/>
    <mergeCell ref="G15:I16"/>
    <mergeCell ref="A38:B38"/>
    <mergeCell ref="A43:B43"/>
    <mergeCell ref="E23:F24"/>
    <mergeCell ref="A40:B40"/>
    <mergeCell ref="A60:B60"/>
    <mergeCell ref="A23:B26"/>
    <mergeCell ref="A17:B18"/>
    <mergeCell ref="C11:C12"/>
    <mergeCell ref="I17:L18"/>
    <mergeCell ref="A51:B51"/>
    <mergeCell ref="D21:D22"/>
    <mergeCell ref="D67:H68"/>
    <mergeCell ref="A56:B56"/>
    <mergeCell ref="E7:H8"/>
    <mergeCell ref="A3:L4"/>
    <mergeCell ref="C13:C14"/>
    <mergeCell ref="D19:D20"/>
    <mergeCell ref="A5:L6"/>
    <mergeCell ref="C15:C16"/>
    <mergeCell ref="A44:B44"/>
    <mergeCell ref="A29:C30"/>
    <mergeCell ref="A58:B58"/>
    <mergeCell ref="A15:B16"/>
    <mergeCell ref="D27:F30"/>
    <mergeCell ref="E15:F16"/>
    <mergeCell ref="D17:D18"/>
    <mergeCell ref="D11:D12"/>
    <mergeCell ref="J15:L16"/>
    <mergeCell ref="A11:B12"/>
    <mergeCell ref="E19:F20"/>
    <mergeCell ref="D23:D24"/>
    <mergeCell ref="G19:H20"/>
    <mergeCell ref="E9:F10"/>
    <mergeCell ref="G9:I10"/>
    <mergeCell ref="E11:F12"/>
    <mergeCell ref="G11:I12"/>
    <mergeCell ref="C9:C10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L70"/>
  <sheetViews>
    <sheetView zoomScale="55" zoomScaleNormal="55" workbookViewId="0">
      <selection activeCell="L36" sqref="L36"/>
    </sheetView>
  </sheetViews>
  <sheetFormatPr defaultRowHeight="13.9" x14ac:dyDescent="0.4"/>
  <cols>
    <col min="1" max="3" width="9.0625" style="3" bestFit="1" customWidth="1"/>
    <col min="4" max="4" width="10.25" style="3" bestFit="1" customWidth="1"/>
    <col min="5" max="12" width="9.0625" style="3" bestFit="1" customWidth="1"/>
    <col min="13" max="16384" width="9" style="3"/>
  </cols>
  <sheetData>
    <row r="1" spans="1:12" x14ac:dyDescent="0.4">
      <c r="A1" s="31">
        <v>1</v>
      </c>
      <c r="B1" s="31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190" t="s">
        <v>176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177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/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f>C64</f>
        <v>0</v>
      </c>
      <c r="D11" s="214">
        <v>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f>D64</f>
        <v>0</v>
      </c>
      <c r="D13" s="214">
        <v>11000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13000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5000</v>
      </c>
      <c r="E19" s="214">
        <f>D19*C19</f>
        <v>0</v>
      </c>
      <c r="F19" s="146"/>
      <c r="G19" s="214" t="s">
        <v>16</v>
      </c>
      <c r="H19" s="146"/>
      <c r="I19" s="223"/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0</v>
      </c>
      <c r="E21" s="214">
        <f>D21*C21</f>
        <v>0</v>
      </c>
      <c r="F21" s="146"/>
      <c r="G21" s="214" t="s">
        <v>18</v>
      </c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F64</f>
        <v>0</v>
      </c>
      <c r="D25" s="229">
        <v>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I17+I19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6" t="s">
        <v>9</v>
      </c>
      <c r="D32" s="7" t="s">
        <v>219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42"/>
      <c r="K33" s="42"/>
      <c r="L33" s="53">
        <f t="shared" ref="L33:L42" si="0">D33*11000</f>
        <v>0</v>
      </c>
    </row>
    <row r="34" spans="1:12" x14ac:dyDescent="0.4">
      <c r="A34" s="215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42"/>
      <c r="K43" s="42"/>
      <c r="L43" s="53">
        <f t="shared" ref="L43:L63" si="1">D43*11000+H43*5000</f>
        <v>0</v>
      </c>
    </row>
    <row r="44" spans="1:12" x14ac:dyDescent="0.4">
      <c r="A44" s="215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42"/>
      <c r="K44" s="42"/>
      <c r="L44" s="53">
        <f t="shared" si="1"/>
        <v>0</v>
      </c>
    </row>
    <row r="45" spans="1:12" x14ac:dyDescent="0.4">
      <c r="A45" s="215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42"/>
      <c r="K45" s="42"/>
      <c r="L45" s="53">
        <f t="shared" si="1"/>
        <v>0</v>
      </c>
    </row>
    <row r="46" spans="1:12" x14ac:dyDescent="0.4">
      <c r="A46" s="215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42"/>
      <c r="K46" s="42"/>
      <c r="L46" s="53">
        <f t="shared" si="1"/>
        <v>0</v>
      </c>
    </row>
    <row r="47" spans="1:12" x14ac:dyDescent="0.4">
      <c r="A47" s="215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42"/>
      <c r="K47" s="42"/>
      <c r="L47" s="53">
        <f t="shared" si="1"/>
        <v>0</v>
      </c>
    </row>
    <row r="48" spans="1:12" x14ac:dyDescent="0.4">
      <c r="A48" s="215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42"/>
      <c r="K48" s="42"/>
      <c r="L48" s="53">
        <f t="shared" si="1"/>
        <v>0</v>
      </c>
    </row>
    <row r="49" spans="1:12" x14ac:dyDescent="0.4">
      <c r="A49" s="215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42"/>
      <c r="K49" s="42"/>
      <c r="L49" s="53">
        <f t="shared" si="1"/>
        <v>0</v>
      </c>
    </row>
    <row r="50" spans="1:12" x14ac:dyDescent="0.4">
      <c r="A50" s="215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42"/>
      <c r="K50" s="42"/>
      <c r="L50" s="53">
        <f t="shared" si="1"/>
        <v>0</v>
      </c>
    </row>
    <row r="51" spans="1:12" x14ac:dyDescent="0.4">
      <c r="A51" s="215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42"/>
      <c r="K51" s="42"/>
      <c r="L51" s="53">
        <f t="shared" si="1"/>
        <v>0</v>
      </c>
    </row>
    <row r="52" spans="1:12" x14ac:dyDescent="0.4">
      <c r="A52" s="215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42"/>
      <c r="K52" s="42"/>
      <c r="L52" s="53">
        <f t="shared" si="1"/>
        <v>0</v>
      </c>
    </row>
    <row r="53" spans="1:12" x14ac:dyDescent="0.4">
      <c r="A53" s="215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42"/>
      <c r="K53" s="42"/>
      <c r="L53" s="53">
        <f t="shared" si="1"/>
        <v>0</v>
      </c>
    </row>
    <row r="54" spans="1:12" x14ac:dyDescent="0.4">
      <c r="A54" s="215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42"/>
      <c r="K54" s="42"/>
      <c r="L54" s="53">
        <f t="shared" si="1"/>
        <v>0</v>
      </c>
    </row>
    <row r="55" spans="1:12" x14ac:dyDescent="0.4">
      <c r="A55" s="215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42"/>
      <c r="K55" s="42"/>
      <c r="L55" s="53">
        <f t="shared" si="1"/>
        <v>0</v>
      </c>
    </row>
    <row r="56" spans="1:12" x14ac:dyDescent="0.4">
      <c r="A56" s="215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42"/>
      <c r="K56" s="42"/>
      <c r="L56" s="53">
        <f t="shared" si="1"/>
        <v>0</v>
      </c>
    </row>
    <row r="57" spans="1:12" x14ac:dyDescent="0.4">
      <c r="A57" s="215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42"/>
      <c r="K57" s="42"/>
      <c r="L57" s="53">
        <f t="shared" si="1"/>
        <v>0</v>
      </c>
    </row>
    <row r="58" spans="1:12" x14ac:dyDescent="0.4">
      <c r="A58" s="215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42"/>
      <c r="K58" s="42"/>
      <c r="L58" s="53">
        <f t="shared" si="1"/>
        <v>0</v>
      </c>
    </row>
    <row r="59" spans="1:12" x14ac:dyDescent="0.4">
      <c r="A59" s="215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42"/>
      <c r="K59" s="42"/>
      <c r="L59" s="53">
        <f t="shared" si="1"/>
        <v>0</v>
      </c>
    </row>
    <row r="60" spans="1:12" x14ac:dyDescent="0.4">
      <c r="A60" s="215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42"/>
      <c r="K60" s="42"/>
      <c r="L60" s="53">
        <f t="shared" si="1"/>
        <v>0</v>
      </c>
    </row>
    <row r="61" spans="1:12" x14ac:dyDescent="0.4">
      <c r="A61" s="215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42"/>
      <c r="K61" s="42"/>
      <c r="L61" s="53">
        <f t="shared" si="1"/>
        <v>0</v>
      </c>
    </row>
    <row r="62" spans="1:12" x14ac:dyDescent="0.4">
      <c r="A62" s="215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42"/>
      <c r="K62" s="42"/>
      <c r="L62" s="53">
        <f t="shared" si="1"/>
        <v>0</v>
      </c>
    </row>
    <row r="63" spans="1:12" x14ac:dyDescent="0.4">
      <c r="A63" s="215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42"/>
      <c r="K63" s="42"/>
      <c r="L63" s="53">
        <f t="shared" si="1"/>
        <v>0</v>
      </c>
    </row>
    <row r="64" spans="1:12" x14ac:dyDescent="0.4">
      <c r="A64" s="234" t="s">
        <v>26</v>
      </c>
      <c r="B64" s="115"/>
      <c r="C64" s="74">
        <f t="shared" ref="C64:I64" si="2">SUM(C33:C63)</f>
        <v>0</v>
      </c>
      <c r="D64" s="75">
        <f t="shared" si="2"/>
        <v>0</v>
      </c>
      <c r="E64" s="76">
        <f t="shared" si="2"/>
        <v>0</v>
      </c>
      <c r="F64" s="77">
        <f t="shared" si="2"/>
        <v>0</v>
      </c>
      <c r="G64" s="78">
        <f t="shared" si="2"/>
        <v>0</v>
      </c>
      <c r="H64" s="79">
        <f t="shared" si="2"/>
        <v>0</v>
      </c>
      <c r="I64" s="80">
        <f t="shared" si="2"/>
        <v>0</v>
      </c>
      <c r="J64" s="89">
        <f t="shared" ref="J64:L64" si="3">SUM(J33:J63)</f>
        <v>0</v>
      </c>
      <c r="K64" s="89">
        <f t="shared" si="3"/>
        <v>0</v>
      </c>
      <c r="L64" s="98">
        <f t="shared" si="3"/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/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I7:L8"/>
    <mergeCell ref="A54:B54"/>
    <mergeCell ref="A41:B41"/>
    <mergeCell ref="D13:D14"/>
    <mergeCell ref="A46:B46"/>
    <mergeCell ref="A37:B37"/>
    <mergeCell ref="G13:I14"/>
    <mergeCell ref="D9:D10"/>
    <mergeCell ref="C17:C18"/>
    <mergeCell ref="D25:D26"/>
    <mergeCell ref="A31:L31"/>
    <mergeCell ref="A27:C28"/>
    <mergeCell ref="I23:L24"/>
    <mergeCell ref="E17:F18"/>
    <mergeCell ref="C19:C20"/>
    <mergeCell ref="G17:H18"/>
    <mergeCell ref="A52:B52"/>
    <mergeCell ref="A7:D8"/>
    <mergeCell ref="C21:C22"/>
    <mergeCell ref="J9:L10"/>
    <mergeCell ref="D15:D16"/>
    <mergeCell ref="J11:L12"/>
    <mergeCell ref="A33:B33"/>
    <mergeCell ref="A42:B42"/>
    <mergeCell ref="I19:L20"/>
    <mergeCell ref="A35:B35"/>
    <mergeCell ref="A61:B61"/>
    <mergeCell ref="A13:B14"/>
    <mergeCell ref="G27:L30"/>
    <mergeCell ref="I21:L22"/>
    <mergeCell ref="C25:C26"/>
    <mergeCell ref="A19:B20"/>
    <mergeCell ref="J13:L14"/>
    <mergeCell ref="G23:H24"/>
    <mergeCell ref="A21:B22"/>
    <mergeCell ref="D69:H70"/>
    <mergeCell ref="A53:B53"/>
    <mergeCell ref="A62:B62"/>
    <mergeCell ref="A39:B39"/>
    <mergeCell ref="A48:B48"/>
    <mergeCell ref="G25:L26"/>
    <mergeCell ref="A59:B59"/>
    <mergeCell ref="A45:B45"/>
    <mergeCell ref="A32:B32"/>
    <mergeCell ref="A50:B50"/>
    <mergeCell ref="A47:B47"/>
    <mergeCell ref="A34:B34"/>
    <mergeCell ref="A49:B49"/>
    <mergeCell ref="A36:B36"/>
    <mergeCell ref="A64:B64"/>
    <mergeCell ref="A63:B63"/>
    <mergeCell ref="I69:L70"/>
    <mergeCell ref="A67:C68"/>
    <mergeCell ref="A69:C70"/>
    <mergeCell ref="A9:B10"/>
    <mergeCell ref="E25:F26"/>
    <mergeCell ref="A55:B55"/>
    <mergeCell ref="I67:L68"/>
    <mergeCell ref="E21:F22"/>
    <mergeCell ref="C23:C24"/>
    <mergeCell ref="G21:H22"/>
    <mergeCell ref="A57:B57"/>
    <mergeCell ref="A65:L66"/>
    <mergeCell ref="E13:F14"/>
    <mergeCell ref="G15:I16"/>
    <mergeCell ref="A38:B38"/>
    <mergeCell ref="A43:B43"/>
    <mergeCell ref="E23:F24"/>
    <mergeCell ref="A40:B40"/>
    <mergeCell ref="A60:B60"/>
    <mergeCell ref="A23:B26"/>
    <mergeCell ref="A17:B18"/>
    <mergeCell ref="C11:C12"/>
    <mergeCell ref="I17:L18"/>
    <mergeCell ref="A51:B51"/>
    <mergeCell ref="D21:D22"/>
    <mergeCell ref="D67:H68"/>
    <mergeCell ref="A56:B56"/>
    <mergeCell ref="E7:H8"/>
    <mergeCell ref="A3:L4"/>
    <mergeCell ref="C13:C14"/>
    <mergeCell ref="D19:D20"/>
    <mergeCell ref="A5:L6"/>
    <mergeCell ref="C15:C16"/>
    <mergeCell ref="A44:B44"/>
    <mergeCell ref="A29:C30"/>
    <mergeCell ref="A58:B58"/>
    <mergeCell ref="A15:B16"/>
    <mergeCell ref="D27:F30"/>
    <mergeCell ref="E15:F16"/>
    <mergeCell ref="D17:D18"/>
    <mergeCell ref="D11:D12"/>
    <mergeCell ref="J15:L16"/>
    <mergeCell ref="A11:B12"/>
    <mergeCell ref="E19:F20"/>
    <mergeCell ref="D23:D24"/>
    <mergeCell ref="G19:H20"/>
    <mergeCell ref="E9:F10"/>
    <mergeCell ref="G9:I10"/>
    <mergeCell ref="E11:F12"/>
    <mergeCell ref="G11:I12"/>
    <mergeCell ref="C9:C10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L70"/>
  <sheetViews>
    <sheetView topLeftCell="A2" zoomScale="55" zoomScaleNormal="55" workbookViewId="0">
      <selection activeCell="L33" sqref="L33:L63"/>
    </sheetView>
  </sheetViews>
  <sheetFormatPr defaultRowHeight="13.9" x14ac:dyDescent="0.4"/>
  <cols>
    <col min="1" max="3" width="9.0625" style="3" bestFit="1" customWidth="1"/>
    <col min="4" max="4" width="9.75" style="3" bestFit="1" customWidth="1"/>
    <col min="5" max="12" width="9.0625" style="3" bestFit="1" customWidth="1"/>
    <col min="13" max="16384" width="9" style="3"/>
  </cols>
  <sheetData>
    <row r="1" spans="1:12" x14ac:dyDescent="0.4">
      <c r="A1" s="31">
        <v>1</v>
      </c>
      <c r="B1" s="31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255" t="s">
        <v>178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179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105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v>0</v>
      </c>
      <c r="D11" s="214">
        <v>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f>C64</f>
        <v>0</v>
      </c>
      <c r="D13" s="214">
        <v>11000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0</v>
      </c>
      <c r="E19" s="214">
        <f>D19*C19</f>
        <v>0</v>
      </c>
      <c r="F19" s="146"/>
      <c r="G19" s="214" t="s">
        <v>16</v>
      </c>
      <c r="H19" s="146"/>
      <c r="I19" s="223"/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0</v>
      </c>
      <c r="E21" s="214">
        <f>D21*C21</f>
        <v>0</v>
      </c>
      <c r="F21" s="146"/>
      <c r="G21" s="214" t="s">
        <v>18</v>
      </c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D64</f>
        <v>0</v>
      </c>
      <c r="D25" s="229">
        <v>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I17+I19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6" t="s">
        <v>9</v>
      </c>
      <c r="D32" s="7" t="s">
        <v>219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42"/>
      <c r="K33" s="42"/>
      <c r="L33" s="53">
        <f t="shared" ref="L33:L63" si="0">D33*11000</f>
        <v>0</v>
      </c>
    </row>
    <row r="34" spans="1:12" x14ac:dyDescent="0.4">
      <c r="A34" s="215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42"/>
      <c r="K47" s="42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42"/>
      <c r="K48" s="42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42"/>
      <c r="K49" s="42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42"/>
      <c r="K50" s="42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42"/>
      <c r="K51" s="42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42"/>
      <c r="K52" s="42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42"/>
      <c r="K53" s="42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42"/>
      <c r="K54" s="42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74">
        <f t="shared" ref="C64:I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89"/>
      <c r="K64" s="89"/>
      <c r="L64" s="98">
        <f>SUM(L33:L63)</f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 t="s">
        <v>180</v>
      </c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I7:L8"/>
    <mergeCell ref="A54:B54"/>
    <mergeCell ref="A41:B41"/>
    <mergeCell ref="D13:D14"/>
    <mergeCell ref="A46:B46"/>
    <mergeCell ref="A37:B37"/>
    <mergeCell ref="G13:I14"/>
    <mergeCell ref="D9:D10"/>
    <mergeCell ref="C17:C18"/>
    <mergeCell ref="D25:D26"/>
    <mergeCell ref="A31:L31"/>
    <mergeCell ref="A27:C28"/>
    <mergeCell ref="I23:L24"/>
    <mergeCell ref="E17:F18"/>
    <mergeCell ref="C19:C20"/>
    <mergeCell ref="G17:H18"/>
    <mergeCell ref="A52:B52"/>
    <mergeCell ref="A7:D8"/>
    <mergeCell ref="C21:C22"/>
    <mergeCell ref="J9:L10"/>
    <mergeCell ref="D15:D16"/>
    <mergeCell ref="J11:L12"/>
    <mergeCell ref="A33:B33"/>
    <mergeCell ref="A42:B42"/>
    <mergeCell ref="I19:L20"/>
    <mergeCell ref="A35:B35"/>
    <mergeCell ref="A61:B61"/>
    <mergeCell ref="A13:B14"/>
    <mergeCell ref="G27:L30"/>
    <mergeCell ref="I21:L22"/>
    <mergeCell ref="C25:C26"/>
    <mergeCell ref="A19:B20"/>
    <mergeCell ref="J13:L14"/>
    <mergeCell ref="G23:H24"/>
    <mergeCell ref="A21:B22"/>
    <mergeCell ref="D69:H70"/>
    <mergeCell ref="A53:B53"/>
    <mergeCell ref="A62:B62"/>
    <mergeCell ref="A39:B39"/>
    <mergeCell ref="A48:B48"/>
    <mergeCell ref="G25:L26"/>
    <mergeCell ref="A59:B59"/>
    <mergeCell ref="A45:B45"/>
    <mergeCell ref="A32:B32"/>
    <mergeCell ref="A50:B50"/>
    <mergeCell ref="A47:B47"/>
    <mergeCell ref="A34:B34"/>
    <mergeCell ref="A49:B49"/>
    <mergeCell ref="A36:B36"/>
    <mergeCell ref="A64:B64"/>
    <mergeCell ref="A63:B63"/>
    <mergeCell ref="I69:L70"/>
    <mergeCell ref="A67:C68"/>
    <mergeCell ref="A69:C70"/>
    <mergeCell ref="A9:B10"/>
    <mergeCell ref="E25:F26"/>
    <mergeCell ref="A55:B55"/>
    <mergeCell ref="I67:L68"/>
    <mergeCell ref="E21:F22"/>
    <mergeCell ref="C23:C24"/>
    <mergeCell ref="G21:H22"/>
    <mergeCell ref="A57:B57"/>
    <mergeCell ref="A65:L66"/>
    <mergeCell ref="E13:F14"/>
    <mergeCell ref="G15:I16"/>
    <mergeCell ref="A38:B38"/>
    <mergeCell ref="A43:B43"/>
    <mergeCell ref="E23:F24"/>
    <mergeCell ref="A40:B40"/>
    <mergeCell ref="A60:B60"/>
    <mergeCell ref="A23:B26"/>
    <mergeCell ref="A17:B18"/>
    <mergeCell ref="C11:C12"/>
    <mergeCell ref="I17:L18"/>
    <mergeCell ref="A51:B51"/>
    <mergeCell ref="D21:D22"/>
    <mergeCell ref="D67:H68"/>
    <mergeCell ref="A56:B56"/>
    <mergeCell ref="E7:H8"/>
    <mergeCell ref="A3:L4"/>
    <mergeCell ref="C13:C14"/>
    <mergeCell ref="D19:D20"/>
    <mergeCell ref="A5:L6"/>
    <mergeCell ref="C15:C16"/>
    <mergeCell ref="A44:B44"/>
    <mergeCell ref="A29:C30"/>
    <mergeCell ref="A58:B58"/>
    <mergeCell ref="A15:B16"/>
    <mergeCell ref="D27:F30"/>
    <mergeCell ref="E15:F16"/>
    <mergeCell ref="D17:D18"/>
    <mergeCell ref="D11:D12"/>
    <mergeCell ref="J15:L16"/>
    <mergeCell ref="A11:B12"/>
    <mergeCell ref="E19:F20"/>
    <mergeCell ref="D23:D24"/>
    <mergeCell ref="G19:H20"/>
    <mergeCell ref="E9:F10"/>
    <mergeCell ref="G9:I10"/>
    <mergeCell ref="E11:F12"/>
    <mergeCell ref="G11:I12"/>
    <mergeCell ref="C9:C10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L70"/>
  <sheetViews>
    <sheetView topLeftCell="A13" zoomScale="55" zoomScaleNormal="55" workbookViewId="0">
      <selection activeCell="C32" sqref="C32:L64"/>
    </sheetView>
  </sheetViews>
  <sheetFormatPr defaultRowHeight="13.9" x14ac:dyDescent="0.4"/>
  <cols>
    <col min="1" max="2" width="9.0625" style="3" bestFit="1" customWidth="1"/>
    <col min="3" max="3" width="11.0625" style="3" bestFit="1" customWidth="1"/>
    <col min="4" max="4" width="10.25" style="3" bestFit="1" customWidth="1"/>
    <col min="5" max="12" width="9.0625" style="3" bestFit="1" customWidth="1"/>
    <col min="13" max="16384" width="9" style="3"/>
  </cols>
  <sheetData>
    <row r="1" spans="1:12" x14ac:dyDescent="0.4">
      <c r="A1" s="31">
        <v>1</v>
      </c>
      <c r="B1" s="31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256" t="s">
        <v>181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</row>
    <row r="4" spans="1:12" x14ac:dyDescent="0.4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</row>
    <row r="5" spans="1:12" x14ac:dyDescent="0.4">
      <c r="A5" s="257" t="s">
        <v>220</v>
      </c>
      <c r="B5" s="258"/>
      <c r="C5" s="258"/>
      <c r="D5" s="258"/>
      <c r="E5" s="258"/>
      <c r="F5" s="258"/>
      <c r="G5" s="258"/>
      <c r="H5" s="258"/>
      <c r="I5" s="258"/>
      <c r="J5" s="258"/>
      <c r="K5" s="258"/>
      <c r="L5" s="258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3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 t="e">
        <f>D64+#REF!</f>
        <v>#REF!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/>
      <c r="D11" s="214"/>
      <c r="E11" s="214"/>
      <c r="F11" s="146"/>
      <c r="G11" s="214" t="s">
        <v>10</v>
      </c>
      <c r="H11" s="151"/>
      <c r="I11" s="146"/>
      <c r="J11" s="223" t="e">
        <f>C25-J9</f>
        <v>#REF!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/>
      <c r="D13" s="214"/>
      <c r="E13" s="214"/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12000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/>
      <c r="D17" s="214"/>
      <c r="E17" s="214"/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/>
      <c r="D19" s="214"/>
      <c r="E19" s="214"/>
      <c r="F19" s="146"/>
      <c r="G19" s="214" t="s">
        <v>16</v>
      </c>
      <c r="H19" s="146"/>
      <c r="I19" s="223">
        <v>0</v>
      </c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/>
      <c r="D21" s="214"/>
      <c r="E21" s="214"/>
      <c r="F21" s="146"/>
      <c r="G21" s="214" t="s">
        <v>18</v>
      </c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D64</f>
        <v>0</v>
      </c>
      <c r="D25" s="229">
        <v>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I17+I19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6" t="s">
        <v>9</v>
      </c>
      <c r="D32" s="7" t="s">
        <v>219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42"/>
      <c r="K33" s="42"/>
      <c r="L33" s="53">
        <f t="shared" ref="L33:L63" si="0">I33*6000+H33*4500+G33*4000-F33*3000+E33*12000+D33*13000+C33*1900</f>
        <v>0</v>
      </c>
    </row>
    <row r="34" spans="1:12" x14ac:dyDescent="0.4">
      <c r="A34" s="215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42"/>
      <c r="K47" s="42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42"/>
      <c r="K48" s="42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42"/>
      <c r="K49" s="42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42"/>
      <c r="K50" s="42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42"/>
      <c r="K51" s="42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42"/>
      <c r="K52" s="42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42"/>
      <c r="K53" s="42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42"/>
      <c r="K54" s="42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D64" s="91">
        <f>SUM(D33:D63)</f>
        <v>0</v>
      </c>
      <c r="E64" s="84">
        <f>SUM(E33:E63)</f>
        <v>0</v>
      </c>
      <c r="F64" s="95"/>
      <c r="G64" s="89"/>
      <c r="H64" s="89"/>
      <c r="I64" s="89"/>
      <c r="J64" s="89">
        <f>SUM(J33:J63)</f>
        <v>0</v>
      </c>
      <c r="K64" s="89">
        <f>SUM(K33:K63)</f>
        <v>0</v>
      </c>
      <c r="L64" s="98">
        <f>SUM(L33:L63)</f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/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I7:L8"/>
    <mergeCell ref="A54:B54"/>
    <mergeCell ref="A41:B41"/>
    <mergeCell ref="D13:D14"/>
    <mergeCell ref="A46:B46"/>
    <mergeCell ref="A37:B37"/>
    <mergeCell ref="G13:I14"/>
    <mergeCell ref="D9:D10"/>
    <mergeCell ref="C17:C18"/>
    <mergeCell ref="D25:D26"/>
    <mergeCell ref="A31:L31"/>
    <mergeCell ref="A27:C28"/>
    <mergeCell ref="I23:L24"/>
    <mergeCell ref="E17:F18"/>
    <mergeCell ref="C19:C20"/>
    <mergeCell ref="G17:H18"/>
    <mergeCell ref="A52:B52"/>
    <mergeCell ref="A7:D8"/>
    <mergeCell ref="C21:C22"/>
    <mergeCell ref="J9:L10"/>
    <mergeCell ref="D15:D16"/>
    <mergeCell ref="J11:L12"/>
    <mergeCell ref="A33:B33"/>
    <mergeCell ref="A42:B42"/>
    <mergeCell ref="I19:L20"/>
    <mergeCell ref="A35:B35"/>
    <mergeCell ref="A61:B61"/>
    <mergeCell ref="A13:B14"/>
    <mergeCell ref="G27:L30"/>
    <mergeCell ref="I21:L22"/>
    <mergeCell ref="C25:C26"/>
    <mergeCell ref="A19:B20"/>
    <mergeCell ref="J13:L14"/>
    <mergeCell ref="G23:H24"/>
    <mergeCell ref="A21:B22"/>
    <mergeCell ref="D69:H70"/>
    <mergeCell ref="A53:B53"/>
    <mergeCell ref="A62:B62"/>
    <mergeCell ref="A39:B39"/>
    <mergeCell ref="A48:B48"/>
    <mergeCell ref="G25:L26"/>
    <mergeCell ref="A59:B59"/>
    <mergeCell ref="A45:B45"/>
    <mergeCell ref="A32:B32"/>
    <mergeCell ref="A50:B50"/>
    <mergeCell ref="A47:B47"/>
    <mergeCell ref="A34:B34"/>
    <mergeCell ref="A49:B49"/>
    <mergeCell ref="A36:B36"/>
    <mergeCell ref="A64:B64"/>
    <mergeCell ref="A63:B63"/>
    <mergeCell ref="I69:L70"/>
    <mergeCell ref="A67:C68"/>
    <mergeCell ref="A69:C70"/>
    <mergeCell ref="A9:B10"/>
    <mergeCell ref="E25:F26"/>
    <mergeCell ref="A55:B55"/>
    <mergeCell ref="I67:L68"/>
    <mergeCell ref="E21:F22"/>
    <mergeCell ref="C23:C24"/>
    <mergeCell ref="G21:H22"/>
    <mergeCell ref="A57:B57"/>
    <mergeCell ref="A65:L66"/>
    <mergeCell ref="E13:F14"/>
    <mergeCell ref="G15:I16"/>
    <mergeCell ref="A38:B38"/>
    <mergeCell ref="A43:B43"/>
    <mergeCell ref="E23:F24"/>
    <mergeCell ref="A40:B40"/>
    <mergeCell ref="A60:B60"/>
    <mergeCell ref="A23:B26"/>
    <mergeCell ref="A17:B18"/>
    <mergeCell ref="C11:C12"/>
    <mergeCell ref="I17:L18"/>
    <mergeCell ref="A51:B51"/>
    <mergeCell ref="D21:D22"/>
    <mergeCell ref="D67:H68"/>
    <mergeCell ref="A56:B56"/>
    <mergeCell ref="E7:H8"/>
    <mergeCell ref="A3:L4"/>
    <mergeCell ref="C13:C14"/>
    <mergeCell ref="D19:D20"/>
    <mergeCell ref="A5:L6"/>
    <mergeCell ref="C15:C16"/>
    <mergeCell ref="A44:B44"/>
    <mergeCell ref="A29:C30"/>
    <mergeCell ref="A58:B58"/>
    <mergeCell ref="A15:B16"/>
    <mergeCell ref="D27:F30"/>
    <mergeCell ref="E15:F16"/>
    <mergeCell ref="D17:D18"/>
    <mergeCell ref="D11:D12"/>
    <mergeCell ref="J15:L16"/>
    <mergeCell ref="A11:B12"/>
    <mergeCell ref="E19:F20"/>
    <mergeCell ref="D23:D24"/>
    <mergeCell ref="G19:H20"/>
    <mergeCell ref="E9:F10"/>
    <mergeCell ref="G9:I10"/>
    <mergeCell ref="E11:F12"/>
    <mergeCell ref="G11:I12"/>
    <mergeCell ref="C9:C10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L70"/>
  <sheetViews>
    <sheetView topLeftCell="A14" zoomScale="55" zoomScaleNormal="55" workbookViewId="0">
      <selection activeCell="Q32" sqref="Q32"/>
    </sheetView>
  </sheetViews>
  <sheetFormatPr defaultRowHeight="13.9" x14ac:dyDescent="0.4"/>
  <cols>
    <col min="1" max="3" width="9.0625" style="3" bestFit="1" customWidth="1"/>
    <col min="4" max="4" width="10.75" style="3" bestFit="1" customWidth="1"/>
    <col min="5" max="12" width="9.0625" style="3" bestFit="1" customWidth="1"/>
    <col min="13" max="16384" width="9" style="3"/>
  </cols>
  <sheetData>
    <row r="1" spans="1:12" x14ac:dyDescent="0.4">
      <c r="A1" s="31">
        <v>1</v>
      </c>
      <c r="B1" s="31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256" t="s">
        <v>182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</row>
    <row r="4" spans="1:12" x14ac:dyDescent="0.4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</row>
    <row r="5" spans="1:12" x14ac:dyDescent="0.4">
      <c r="A5" s="257" t="s">
        <v>183</v>
      </c>
      <c r="B5" s="258"/>
      <c r="C5" s="258"/>
      <c r="D5" s="258"/>
      <c r="E5" s="258"/>
      <c r="F5" s="258"/>
      <c r="G5" s="258"/>
      <c r="H5" s="258"/>
      <c r="I5" s="258"/>
      <c r="J5" s="258"/>
      <c r="K5" s="258"/>
      <c r="L5" s="258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/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v>0</v>
      </c>
      <c r="D11" s="214">
        <v>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v>0</v>
      </c>
      <c r="D13" s="214">
        <v>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C64</f>
        <v>0</v>
      </c>
      <c r="D15" s="214">
        <v>13000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0</v>
      </c>
      <c r="E19" s="214">
        <f>D19*C19</f>
        <v>0</v>
      </c>
      <c r="F19" s="146"/>
      <c r="G19" s="214" t="s">
        <v>154</v>
      </c>
      <c r="H19" s="146"/>
      <c r="I19" s="223">
        <v>0</v>
      </c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0</v>
      </c>
      <c r="E21" s="214">
        <f>D21*C21</f>
        <v>0</v>
      </c>
      <c r="F21" s="146"/>
      <c r="G21" s="214" t="s">
        <v>18</v>
      </c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ht="14.25" thickBot="1" x14ac:dyDescent="0.45">
      <c r="A23" s="248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51"/>
      <c r="H23" s="146"/>
      <c r="I23" s="254"/>
      <c r="J23" s="151"/>
      <c r="K23" s="151"/>
      <c r="L23" s="146"/>
    </row>
    <row r="24" spans="1:12" ht="17.25" customHeight="1" thickBot="1" x14ac:dyDescent="0.45">
      <c r="A24" s="153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3"/>
      <c r="B25" s="166"/>
      <c r="C25" s="214">
        <f>D64</f>
        <v>0</v>
      </c>
      <c r="D25" s="229">
        <v>0</v>
      </c>
      <c r="E25" s="247">
        <f>D25*C25</f>
        <v>0</v>
      </c>
      <c r="F25" s="151"/>
      <c r="G25" s="249" t="s">
        <v>20</v>
      </c>
      <c r="H25" s="209"/>
      <c r="I25" s="209"/>
      <c r="J25" s="209"/>
      <c r="K25" s="209"/>
      <c r="L25" s="210"/>
    </row>
    <row r="26" spans="1:12" x14ac:dyDescent="0.4">
      <c r="A26" s="154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52" t="s">
        <v>21</v>
      </c>
      <c r="B27" s="151"/>
      <c r="C27" s="146"/>
      <c r="D27" s="246">
        <f>E11+E13+E15+E17+E19+E21-E25</f>
        <v>0</v>
      </c>
      <c r="E27" s="151"/>
      <c r="F27" s="151"/>
      <c r="G27" s="250">
        <f>I19+I17</f>
        <v>0</v>
      </c>
      <c r="H27" s="199"/>
      <c r="I27" s="199"/>
      <c r="J27" s="199"/>
      <c r="K27" s="199"/>
      <c r="L27" s="200"/>
    </row>
    <row r="28" spans="1:12" x14ac:dyDescent="0.4">
      <c r="A28" s="253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44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245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260" t="s">
        <v>23</v>
      </c>
      <c r="B32" s="137"/>
      <c r="C32" s="6" t="s">
        <v>9</v>
      </c>
      <c r="D32" s="7" t="s">
        <v>219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4"/>
      <c r="K32" s="4"/>
      <c r="L32" s="2" t="s">
        <v>26</v>
      </c>
    </row>
    <row r="33" spans="1:12" x14ac:dyDescent="0.4">
      <c r="A33" s="259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42"/>
      <c r="K33" s="42"/>
      <c r="L33" s="53">
        <f t="shared" ref="L33:L63" si="0">I33*6000+H33*4500+G33*4000-F33*3000+E33*12000+D33*13000+C33*1900</f>
        <v>0</v>
      </c>
    </row>
    <row r="34" spans="1:12" x14ac:dyDescent="0.4">
      <c r="A34" s="259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42"/>
      <c r="K34" s="42"/>
      <c r="L34" s="53">
        <f t="shared" si="0"/>
        <v>0</v>
      </c>
    </row>
    <row r="35" spans="1:12" x14ac:dyDescent="0.4">
      <c r="A35" s="259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42"/>
      <c r="K35" s="42"/>
      <c r="L35" s="53">
        <f t="shared" si="0"/>
        <v>0</v>
      </c>
    </row>
    <row r="36" spans="1:12" x14ac:dyDescent="0.4">
      <c r="A36" s="259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42"/>
      <c r="K36" s="42"/>
      <c r="L36" s="53">
        <f t="shared" si="0"/>
        <v>0</v>
      </c>
    </row>
    <row r="37" spans="1:12" x14ac:dyDescent="0.4">
      <c r="A37" s="259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42"/>
      <c r="K37" s="42"/>
      <c r="L37" s="53">
        <f t="shared" si="0"/>
        <v>0</v>
      </c>
    </row>
    <row r="38" spans="1:12" x14ac:dyDescent="0.4">
      <c r="A38" s="259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42"/>
      <c r="K38" s="42"/>
      <c r="L38" s="53">
        <f t="shared" si="0"/>
        <v>0</v>
      </c>
    </row>
    <row r="39" spans="1:12" x14ac:dyDescent="0.4">
      <c r="A39" s="259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42"/>
      <c r="K39" s="42"/>
      <c r="L39" s="53">
        <f t="shared" si="0"/>
        <v>0</v>
      </c>
    </row>
    <row r="40" spans="1:12" x14ac:dyDescent="0.4">
      <c r="A40" s="259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42"/>
      <c r="K40" s="42"/>
      <c r="L40" s="53">
        <f t="shared" si="0"/>
        <v>0</v>
      </c>
    </row>
    <row r="41" spans="1:12" x14ac:dyDescent="0.4">
      <c r="A41" s="259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42"/>
      <c r="K41" s="42"/>
      <c r="L41" s="53">
        <f t="shared" si="0"/>
        <v>0</v>
      </c>
    </row>
    <row r="42" spans="1:12" x14ac:dyDescent="0.4">
      <c r="A42" s="259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42"/>
      <c r="K42" s="42"/>
      <c r="L42" s="53">
        <f t="shared" si="0"/>
        <v>0</v>
      </c>
    </row>
    <row r="43" spans="1:12" x14ac:dyDescent="0.4">
      <c r="A43" s="259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42"/>
      <c r="K43" s="42"/>
      <c r="L43" s="53">
        <f t="shared" si="0"/>
        <v>0</v>
      </c>
    </row>
    <row r="44" spans="1:12" x14ac:dyDescent="0.4">
      <c r="A44" s="259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42"/>
      <c r="K44" s="42"/>
      <c r="L44" s="53">
        <f t="shared" si="0"/>
        <v>0</v>
      </c>
    </row>
    <row r="45" spans="1:12" x14ac:dyDescent="0.4">
      <c r="A45" s="259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42"/>
      <c r="K45" s="42"/>
      <c r="L45" s="53">
        <f t="shared" si="0"/>
        <v>0</v>
      </c>
    </row>
    <row r="46" spans="1:12" x14ac:dyDescent="0.4">
      <c r="A46" s="259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42"/>
      <c r="K46" s="42"/>
      <c r="L46" s="53">
        <f t="shared" si="0"/>
        <v>0</v>
      </c>
    </row>
    <row r="47" spans="1:12" x14ac:dyDescent="0.4">
      <c r="A47" s="259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42"/>
      <c r="K47" s="42"/>
      <c r="L47" s="53">
        <f t="shared" si="0"/>
        <v>0</v>
      </c>
    </row>
    <row r="48" spans="1:12" x14ac:dyDescent="0.4">
      <c r="A48" s="259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42"/>
      <c r="K48" s="42"/>
      <c r="L48" s="53">
        <f t="shared" si="0"/>
        <v>0</v>
      </c>
    </row>
    <row r="49" spans="1:12" x14ac:dyDescent="0.4">
      <c r="A49" s="259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42"/>
      <c r="K49" s="42"/>
      <c r="L49" s="53">
        <f t="shared" si="0"/>
        <v>0</v>
      </c>
    </row>
    <row r="50" spans="1:12" x14ac:dyDescent="0.4">
      <c r="A50" s="259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42"/>
      <c r="K50" s="42"/>
      <c r="L50" s="53">
        <f t="shared" si="0"/>
        <v>0</v>
      </c>
    </row>
    <row r="51" spans="1:12" x14ac:dyDescent="0.4">
      <c r="A51" s="259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42"/>
      <c r="K51" s="42"/>
      <c r="L51" s="53">
        <f t="shared" si="0"/>
        <v>0</v>
      </c>
    </row>
    <row r="52" spans="1:12" x14ac:dyDescent="0.4">
      <c r="A52" s="259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42"/>
      <c r="K52" s="42"/>
      <c r="L52" s="53">
        <f t="shared" si="0"/>
        <v>0</v>
      </c>
    </row>
    <row r="53" spans="1:12" x14ac:dyDescent="0.4">
      <c r="A53" s="259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42"/>
      <c r="K53" s="42"/>
      <c r="L53" s="53">
        <f t="shared" si="0"/>
        <v>0</v>
      </c>
    </row>
    <row r="54" spans="1:12" x14ac:dyDescent="0.4">
      <c r="A54" s="259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42"/>
      <c r="K54" s="42"/>
      <c r="L54" s="53">
        <f t="shared" si="0"/>
        <v>0</v>
      </c>
    </row>
    <row r="55" spans="1:12" x14ac:dyDescent="0.4">
      <c r="A55" s="259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42"/>
      <c r="K55" s="42"/>
      <c r="L55" s="53">
        <f t="shared" si="0"/>
        <v>0</v>
      </c>
    </row>
    <row r="56" spans="1:12" x14ac:dyDescent="0.4">
      <c r="A56" s="259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42"/>
      <c r="K56" s="42"/>
      <c r="L56" s="53">
        <f t="shared" si="0"/>
        <v>0</v>
      </c>
    </row>
    <row r="57" spans="1:12" x14ac:dyDescent="0.4">
      <c r="A57" s="259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42"/>
      <c r="K57" s="42"/>
      <c r="L57" s="53">
        <f t="shared" si="0"/>
        <v>0</v>
      </c>
    </row>
    <row r="58" spans="1:12" x14ac:dyDescent="0.4">
      <c r="A58" s="259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42"/>
      <c r="K58" s="42"/>
      <c r="L58" s="53">
        <f t="shared" si="0"/>
        <v>0</v>
      </c>
    </row>
    <row r="59" spans="1:12" x14ac:dyDescent="0.4">
      <c r="A59" s="259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42"/>
      <c r="K59" s="42"/>
      <c r="L59" s="53">
        <f t="shared" si="0"/>
        <v>0</v>
      </c>
    </row>
    <row r="60" spans="1:12" x14ac:dyDescent="0.4">
      <c r="A60" s="259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42"/>
      <c r="K60" s="42"/>
      <c r="L60" s="53">
        <f t="shared" si="0"/>
        <v>0</v>
      </c>
    </row>
    <row r="61" spans="1:12" x14ac:dyDescent="0.4">
      <c r="A61" s="259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42"/>
      <c r="K61" s="42"/>
      <c r="L61" s="53">
        <f t="shared" si="0"/>
        <v>0</v>
      </c>
    </row>
    <row r="62" spans="1:12" x14ac:dyDescent="0.4">
      <c r="A62" s="259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42"/>
      <c r="K62" s="42"/>
      <c r="L62" s="53">
        <f t="shared" si="0"/>
        <v>0</v>
      </c>
    </row>
    <row r="63" spans="1:12" x14ac:dyDescent="0.4">
      <c r="A63" s="259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42"/>
      <c r="K63" s="42"/>
      <c r="L63" s="53">
        <f t="shared" si="0"/>
        <v>0</v>
      </c>
    </row>
    <row r="64" spans="1:12" x14ac:dyDescent="0.4">
      <c r="A64" s="261" t="s">
        <v>26</v>
      </c>
      <c r="B64" s="115"/>
      <c r="D64" s="91">
        <f>SUM(D33:D63)</f>
        <v>0</v>
      </c>
      <c r="E64" s="84">
        <f>SUM(E33:E63)</f>
        <v>0</v>
      </c>
      <c r="F64" s="95"/>
      <c r="G64" s="89"/>
      <c r="H64" s="89"/>
      <c r="I64" s="89"/>
      <c r="J64" s="89">
        <f>SUM(J33:J63)</f>
        <v>0</v>
      </c>
      <c r="K64" s="89">
        <f>SUM(K33:K63)</f>
        <v>0</v>
      </c>
      <c r="L64" s="98">
        <f>SUM(L33:L63)</f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/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 t="s">
        <v>184</v>
      </c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I7:L8"/>
    <mergeCell ref="A54:B54"/>
    <mergeCell ref="A41:B41"/>
    <mergeCell ref="D13:D14"/>
    <mergeCell ref="A46:B46"/>
    <mergeCell ref="A37:B37"/>
    <mergeCell ref="G13:I14"/>
    <mergeCell ref="D9:D10"/>
    <mergeCell ref="C17:C18"/>
    <mergeCell ref="D25:D26"/>
    <mergeCell ref="A31:L31"/>
    <mergeCell ref="A27:C28"/>
    <mergeCell ref="I23:L24"/>
    <mergeCell ref="E17:F18"/>
    <mergeCell ref="C19:C20"/>
    <mergeCell ref="G17:H18"/>
    <mergeCell ref="A52:B52"/>
    <mergeCell ref="A7:D8"/>
    <mergeCell ref="C21:C22"/>
    <mergeCell ref="J9:L10"/>
    <mergeCell ref="D15:D16"/>
    <mergeCell ref="J11:L12"/>
    <mergeCell ref="A33:B33"/>
    <mergeCell ref="A42:B42"/>
    <mergeCell ref="I19:L20"/>
    <mergeCell ref="A35:B35"/>
    <mergeCell ref="A61:B61"/>
    <mergeCell ref="A13:B14"/>
    <mergeCell ref="G27:L30"/>
    <mergeCell ref="I21:L22"/>
    <mergeCell ref="C25:C26"/>
    <mergeCell ref="A19:B20"/>
    <mergeCell ref="J13:L14"/>
    <mergeCell ref="G23:H24"/>
    <mergeCell ref="A21:B22"/>
    <mergeCell ref="D69:H70"/>
    <mergeCell ref="A53:B53"/>
    <mergeCell ref="A62:B62"/>
    <mergeCell ref="A39:B39"/>
    <mergeCell ref="A48:B48"/>
    <mergeCell ref="G25:L26"/>
    <mergeCell ref="A59:B59"/>
    <mergeCell ref="A45:B45"/>
    <mergeCell ref="A32:B32"/>
    <mergeCell ref="A50:B50"/>
    <mergeCell ref="A47:B47"/>
    <mergeCell ref="A34:B34"/>
    <mergeCell ref="A49:B49"/>
    <mergeCell ref="A36:B36"/>
    <mergeCell ref="A64:B64"/>
    <mergeCell ref="A63:B63"/>
    <mergeCell ref="I69:L70"/>
    <mergeCell ref="A67:C68"/>
    <mergeCell ref="A69:C70"/>
    <mergeCell ref="A9:B10"/>
    <mergeCell ref="E25:F26"/>
    <mergeCell ref="A55:B55"/>
    <mergeCell ref="I67:L68"/>
    <mergeCell ref="E21:F22"/>
    <mergeCell ref="C23:C24"/>
    <mergeCell ref="G21:H22"/>
    <mergeCell ref="A57:B57"/>
    <mergeCell ref="A65:L66"/>
    <mergeCell ref="E13:F14"/>
    <mergeCell ref="G15:I16"/>
    <mergeCell ref="A38:B38"/>
    <mergeCell ref="A43:B43"/>
    <mergeCell ref="E23:F24"/>
    <mergeCell ref="A40:B40"/>
    <mergeCell ref="A60:B60"/>
    <mergeCell ref="A23:B26"/>
    <mergeCell ref="A17:B18"/>
    <mergeCell ref="C11:C12"/>
    <mergeCell ref="I17:L18"/>
    <mergeCell ref="A51:B51"/>
    <mergeCell ref="D21:D22"/>
    <mergeCell ref="D67:H68"/>
    <mergeCell ref="A56:B56"/>
    <mergeCell ref="E7:H8"/>
    <mergeCell ref="A3:L4"/>
    <mergeCell ref="C13:C14"/>
    <mergeCell ref="D19:D20"/>
    <mergeCell ref="A5:L6"/>
    <mergeCell ref="C15:C16"/>
    <mergeCell ref="A44:B44"/>
    <mergeCell ref="A29:C30"/>
    <mergeCell ref="A58:B58"/>
    <mergeCell ref="A15:B16"/>
    <mergeCell ref="D27:F30"/>
    <mergeCell ref="E15:F16"/>
    <mergeCell ref="D17:D18"/>
    <mergeCell ref="D11:D12"/>
    <mergeCell ref="J15:L16"/>
    <mergeCell ref="A11:B12"/>
    <mergeCell ref="E19:F20"/>
    <mergeCell ref="D23:D24"/>
    <mergeCell ref="G19:H20"/>
    <mergeCell ref="E9:F10"/>
    <mergeCell ref="G9:I10"/>
    <mergeCell ref="E11:F12"/>
    <mergeCell ref="G11:I12"/>
    <mergeCell ref="C9:C10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L70"/>
  <sheetViews>
    <sheetView topLeftCell="A7" zoomScale="55" zoomScaleNormal="55" workbookViewId="0">
      <selection activeCell="L33" sqref="L33"/>
    </sheetView>
  </sheetViews>
  <sheetFormatPr defaultRowHeight="13.9" x14ac:dyDescent="0.4"/>
  <cols>
    <col min="1" max="3" width="9.0625" style="3" bestFit="1" customWidth="1"/>
    <col min="4" max="4" width="10.25" style="3" bestFit="1" customWidth="1"/>
    <col min="5" max="5" width="9.25" style="3" bestFit="1" customWidth="1"/>
    <col min="6" max="11" width="9.0625" style="3" bestFit="1" customWidth="1"/>
    <col min="12" max="12" width="9.25" style="3" bestFit="1" customWidth="1"/>
    <col min="13" max="16384" width="9" style="3"/>
  </cols>
  <sheetData>
    <row r="1" spans="1:12" x14ac:dyDescent="0.4">
      <c r="A1" s="31">
        <v>1</v>
      </c>
      <c r="B1" s="54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262" t="s">
        <v>185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263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ht="16.899999999999999" customHeight="1" x14ac:dyDescent="0.4">
      <c r="A5" s="220" t="s">
        <v>186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ht="16.899999999999999" customHeight="1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/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/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/>
      <c r="B11" s="146"/>
      <c r="C11" s="214"/>
      <c r="D11" s="214"/>
      <c r="E11" s="214"/>
      <c r="F11" s="146"/>
      <c r="G11" s="214" t="s">
        <v>10</v>
      </c>
      <c r="H11" s="151"/>
      <c r="I11" s="146"/>
      <c r="J11" s="223"/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/>
      <c r="D13" s="214"/>
      <c r="E13" s="214"/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C64</f>
        <v>4</v>
      </c>
      <c r="D15" s="214">
        <v>12000</v>
      </c>
      <c r="E15" s="214">
        <f>D15*C15</f>
        <v>48000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187</v>
      </c>
      <c r="B17" s="146"/>
      <c r="C17" s="214">
        <f>D64</f>
        <v>5</v>
      </c>
      <c r="D17" s="214">
        <v>17000</v>
      </c>
      <c r="E17" s="214">
        <f>D17*C17</f>
        <v>85000</v>
      </c>
      <c r="F17" s="146"/>
      <c r="G17" s="214" t="s">
        <v>14</v>
      </c>
      <c r="H17" s="146"/>
      <c r="I17" s="223">
        <f>D27</f>
        <v>133000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/>
      <c r="B19" s="146"/>
      <c r="C19" s="214"/>
      <c r="D19" s="214"/>
      <c r="E19" s="214"/>
      <c r="F19" s="146"/>
      <c r="G19" s="214" t="s">
        <v>16</v>
      </c>
      <c r="H19" s="146"/>
      <c r="I19" s="223"/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/>
      <c r="B21" s="146"/>
      <c r="C21" s="214"/>
      <c r="D21" s="214"/>
      <c r="E21" s="214"/>
      <c r="F21" s="146"/>
      <c r="G21" s="214" t="s">
        <v>18</v>
      </c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F64</f>
        <v>0</v>
      </c>
      <c r="D25" s="229">
        <v>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ht="16.899999999999999" customHeight="1" x14ac:dyDescent="0.4">
      <c r="A27" s="230" t="s">
        <v>21</v>
      </c>
      <c r="B27" s="151"/>
      <c r="C27" s="146"/>
      <c r="D27" s="214">
        <f>E11+E13+E15+E17+E19+E21-E25</f>
        <v>133000</v>
      </c>
      <c r="E27" s="151"/>
      <c r="F27" s="151"/>
      <c r="G27" s="225">
        <f>I17+I19</f>
        <v>133000</v>
      </c>
      <c r="H27" s="199"/>
      <c r="I27" s="199"/>
      <c r="J27" s="199"/>
      <c r="K27" s="199"/>
      <c r="L27" s="200"/>
    </row>
    <row r="28" spans="1:12" ht="16.899999999999999" customHeight="1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ht="16.899999999999999" customHeight="1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107" t="s">
        <v>12</v>
      </c>
      <c r="D32" s="54" t="s">
        <v>187</v>
      </c>
      <c r="E32" s="2" t="s">
        <v>26</v>
      </c>
      <c r="F32" s="100"/>
      <c r="G32" s="101"/>
      <c r="H32" s="101"/>
      <c r="I32" s="101"/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108">
        <v>2</v>
      </c>
      <c r="D33" s="69">
        <v>2</v>
      </c>
      <c r="E33" s="53">
        <f t="shared" ref="E33:E63" si="0">D33*17000+C33*12000+B33*10000</f>
        <v>58000</v>
      </c>
      <c r="F33" s="102"/>
      <c r="G33" s="103"/>
      <c r="H33" s="103"/>
      <c r="I33" s="103"/>
      <c r="J33" s="42"/>
      <c r="K33" s="42"/>
      <c r="L33" s="53">
        <f t="shared" ref="L33:L63" si="1">C33*12000+D33*17000</f>
        <v>58000</v>
      </c>
    </row>
    <row r="34" spans="1:12" x14ac:dyDescent="0.4">
      <c r="A34" s="215" t="e">
        <f>#REF!</f>
        <v>#REF!</v>
      </c>
      <c r="B34" s="137"/>
      <c r="C34" s="108">
        <v>1</v>
      </c>
      <c r="D34" s="69">
        <v>2</v>
      </c>
      <c r="E34" s="53">
        <f t="shared" si="0"/>
        <v>46000</v>
      </c>
      <c r="F34" s="102"/>
      <c r="G34" s="103"/>
      <c r="H34" s="103"/>
      <c r="I34" s="103"/>
      <c r="J34" s="42"/>
      <c r="K34" s="42"/>
      <c r="L34" s="53">
        <f t="shared" si="1"/>
        <v>46000</v>
      </c>
    </row>
    <row r="35" spans="1:12" x14ac:dyDescent="0.4">
      <c r="A35" s="215" t="e">
        <f>#REF!</f>
        <v>#REF!</v>
      </c>
      <c r="B35" s="137"/>
      <c r="C35" s="108">
        <v>1</v>
      </c>
      <c r="D35" s="69">
        <v>1</v>
      </c>
      <c r="E35" s="53">
        <f t="shared" si="0"/>
        <v>29000</v>
      </c>
      <c r="F35" s="102"/>
      <c r="G35" s="103"/>
      <c r="H35" s="103"/>
      <c r="I35" s="103"/>
      <c r="J35" s="42"/>
      <c r="K35" s="42"/>
      <c r="L35" s="53">
        <f t="shared" si="1"/>
        <v>29000</v>
      </c>
    </row>
    <row r="36" spans="1:12" x14ac:dyDescent="0.4">
      <c r="A36" s="215" t="e">
        <f>#REF!</f>
        <v>#REF!</v>
      </c>
      <c r="B36" s="137"/>
      <c r="C36" s="108"/>
      <c r="D36" s="69"/>
      <c r="E36" s="53">
        <f t="shared" si="0"/>
        <v>0</v>
      </c>
      <c r="F36" s="102"/>
      <c r="G36" s="103"/>
      <c r="H36" s="103"/>
      <c r="I36" s="103"/>
      <c r="J36" s="42"/>
      <c r="K36" s="42"/>
      <c r="L36" s="53">
        <f t="shared" si="1"/>
        <v>0</v>
      </c>
    </row>
    <row r="37" spans="1:12" x14ac:dyDescent="0.4">
      <c r="A37" s="215" t="e">
        <f>#REF!</f>
        <v>#REF!</v>
      </c>
      <c r="B37" s="137"/>
      <c r="C37" s="108"/>
      <c r="D37" s="69"/>
      <c r="E37" s="53">
        <f t="shared" si="0"/>
        <v>0</v>
      </c>
      <c r="F37" s="102"/>
      <c r="G37" s="103"/>
      <c r="H37" s="103"/>
      <c r="I37" s="103"/>
      <c r="J37" s="42"/>
      <c r="K37" s="42"/>
      <c r="L37" s="53">
        <f t="shared" si="1"/>
        <v>0</v>
      </c>
    </row>
    <row r="38" spans="1:12" x14ac:dyDescent="0.4">
      <c r="A38" s="215" t="e">
        <f>#REF!</f>
        <v>#REF!</v>
      </c>
      <c r="B38" s="137"/>
      <c r="C38" s="108"/>
      <c r="D38" s="69"/>
      <c r="E38" s="53">
        <f t="shared" si="0"/>
        <v>0</v>
      </c>
      <c r="F38" s="102"/>
      <c r="G38" s="103"/>
      <c r="H38" s="103"/>
      <c r="I38" s="103"/>
      <c r="J38" s="42"/>
      <c r="K38" s="42"/>
      <c r="L38" s="53">
        <f t="shared" si="1"/>
        <v>0</v>
      </c>
    </row>
    <row r="39" spans="1:12" x14ac:dyDescent="0.4">
      <c r="A39" s="215" t="e">
        <f>#REF!</f>
        <v>#REF!</v>
      </c>
      <c r="B39" s="137"/>
      <c r="C39" s="108"/>
      <c r="D39" s="69"/>
      <c r="E39" s="53">
        <f t="shared" si="0"/>
        <v>0</v>
      </c>
      <c r="F39" s="102"/>
      <c r="G39" s="103"/>
      <c r="H39" s="103"/>
      <c r="I39" s="103"/>
      <c r="J39" s="42"/>
      <c r="K39" s="42"/>
      <c r="L39" s="53">
        <f t="shared" si="1"/>
        <v>0</v>
      </c>
    </row>
    <row r="40" spans="1:12" x14ac:dyDescent="0.4">
      <c r="A40" s="215" t="e">
        <f>#REF!</f>
        <v>#REF!</v>
      </c>
      <c r="B40" s="137"/>
      <c r="C40" s="108"/>
      <c r="D40" s="69"/>
      <c r="E40" s="53">
        <f t="shared" si="0"/>
        <v>0</v>
      </c>
      <c r="F40" s="102"/>
      <c r="G40" s="103"/>
      <c r="H40" s="103"/>
      <c r="I40" s="103"/>
      <c r="J40" s="42"/>
      <c r="K40" s="42"/>
      <c r="L40" s="53">
        <f t="shared" si="1"/>
        <v>0</v>
      </c>
    </row>
    <row r="41" spans="1:12" x14ac:dyDescent="0.4">
      <c r="A41" s="215" t="e">
        <f>#REF!</f>
        <v>#REF!</v>
      </c>
      <c r="B41" s="137"/>
      <c r="C41" s="108"/>
      <c r="D41" s="69"/>
      <c r="E41" s="53">
        <f t="shared" si="0"/>
        <v>0</v>
      </c>
      <c r="F41" s="102"/>
      <c r="G41" s="103"/>
      <c r="H41" s="103"/>
      <c r="I41" s="103"/>
      <c r="J41" s="42"/>
      <c r="K41" s="42"/>
      <c r="L41" s="53">
        <f t="shared" si="1"/>
        <v>0</v>
      </c>
    </row>
    <row r="42" spans="1:12" x14ac:dyDescent="0.4">
      <c r="A42" s="215" t="e">
        <f>#REF!</f>
        <v>#REF!</v>
      </c>
      <c r="B42" s="137"/>
      <c r="C42" s="108"/>
      <c r="D42" s="69"/>
      <c r="E42" s="53">
        <f t="shared" si="0"/>
        <v>0</v>
      </c>
      <c r="F42" s="102"/>
      <c r="G42" s="103"/>
      <c r="H42" s="103"/>
      <c r="I42" s="103"/>
      <c r="J42" s="42"/>
      <c r="K42" s="42"/>
      <c r="L42" s="53">
        <f t="shared" si="1"/>
        <v>0</v>
      </c>
    </row>
    <row r="43" spans="1:12" x14ac:dyDescent="0.4">
      <c r="A43" s="215" t="e">
        <f>#REF!</f>
        <v>#REF!</v>
      </c>
      <c r="B43" s="137"/>
      <c r="C43" s="108"/>
      <c r="D43" s="69"/>
      <c r="E43" s="53">
        <f t="shared" si="0"/>
        <v>0</v>
      </c>
      <c r="F43" s="102"/>
      <c r="G43" s="103"/>
      <c r="H43" s="103"/>
      <c r="I43" s="103"/>
      <c r="J43" s="42"/>
      <c r="K43" s="42"/>
      <c r="L43" s="53">
        <f t="shared" si="1"/>
        <v>0</v>
      </c>
    </row>
    <row r="44" spans="1:12" x14ac:dyDescent="0.4">
      <c r="A44" s="215" t="e">
        <f>#REF!</f>
        <v>#REF!</v>
      </c>
      <c r="B44" s="137"/>
      <c r="C44" s="108"/>
      <c r="D44" s="69"/>
      <c r="E44" s="53">
        <f t="shared" si="0"/>
        <v>0</v>
      </c>
      <c r="F44" s="102"/>
      <c r="G44" s="103"/>
      <c r="H44" s="103"/>
      <c r="I44" s="103"/>
      <c r="J44" s="42"/>
      <c r="K44" s="42"/>
      <c r="L44" s="53">
        <f t="shared" si="1"/>
        <v>0</v>
      </c>
    </row>
    <row r="45" spans="1:12" x14ac:dyDescent="0.4">
      <c r="A45" s="215" t="e">
        <f>#REF!</f>
        <v>#REF!</v>
      </c>
      <c r="B45" s="137"/>
      <c r="C45" s="108"/>
      <c r="D45" s="69"/>
      <c r="E45" s="53">
        <f t="shared" si="0"/>
        <v>0</v>
      </c>
      <c r="F45" s="102"/>
      <c r="G45" s="103"/>
      <c r="H45" s="103"/>
      <c r="I45" s="103"/>
      <c r="J45" s="42"/>
      <c r="K45" s="42"/>
      <c r="L45" s="53">
        <f t="shared" si="1"/>
        <v>0</v>
      </c>
    </row>
    <row r="46" spans="1:12" x14ac:dyDescent="0.4">
      <c r="A46" s="215" t="e">
        <f>#REF!</f>
        <v>#REF!</v>
      </c>
      <c r="B46" s="137"/>
      <c r="C46" s="108"/>
      <c r="D46" s="69"/>
      <c r="E46" s="53">
        <f t="shared" si="0"/>
        <v>0</v>
      </c>
      <c r="F46" s="102"/>
      <c r="G46" s="103"/>
      <c r="H46" s="103"/>
      <c r="I46" s="103"/>
      <c r="J46" s="42"/>
      <c r="K46" s="42"/>
      <c r="L46" s="53">
        <f t="shared" si="1"/>
        <v>0</v>
      </c>
    </row>
    <row r="47" spans="1:12" x14ac:dyDescent="0.4">
      <c r="A47" s="215" t="e">
        <f>#REF!</f>
        <v>#REF!</v>
      </c>
      <c r="B47" s="137"/>
      <c r="C47" s="108"/>
      <c r="D47" s="69"/>
      <c r="E47" s="53">
        <f t="shared" si="0"/>
        <v>0</v>
      </c>
      <c r="F47" s="102"/>
      <c r="G47" s="103"/>
      <c r="H47" s="103"/>
      <c r="I47" s="103"/>
      <c r="J47" s="42"/>
      <c r="K47" s="42"/>
      <c r="L47" s="53">
        <f t="shared" si="1"/>
        <v>0</v>
      </c>
    </row>
    <row r="48" spans="1:12" x14ac:dyDescent="0.4">
      <c r="A48" s="215" t="e">
        <f>#REF!</f>
        <v>#REF!</v>
      </c>
      <c r="B48" s="137"/>
      <c r="C48" s="108"/>
      <c r="D48" s="69"/>
      <c r="E48" s="53">
        <f t="shared" si="0"/>
        <v>0</v>
      </c>
      <c r="F48" s="102"/>
      <c r="G48" s="103"/>
      <c r="H48" s="103"/>
      <c r="I48" s="103"/>
      <c r="J48" s="42"/>
      <c r="K48" s="42"/>
      <c r="L48" s="53">
        <f t="shared" si="1"/>
        <v>0</v>
      </c>
    </row>
    <row r="49" spans="1:12" x14ac:dyDescent="0.4">
      <c r="A49" s="215" t="e">
        <f>#REF!</f>
        <v>#REF!</v>
      </c>
      <c r="B49" s="137"/>
      <c r="C49" s="108"/>
      <c r="D49" s="69"/>
      <c r="E49" s="53">
        <f t="shared" si="0"/>
        <v>0</v>
      </c>
      <c r="F49" s="102"/>
      <c r="G49" s="103"/>
      <c r="H49" s="103"/>
      <c r="I49" s="103"/>
      <c r="J49" s="42"/>
      <c r="K49" s="42"/>
      <c r="L49" s="53">
        <f t="shared" si="1"/>
        <v>0</v>
      </c>
    </row>
    <row r="50" spans="1:12" x14ac:dyDescent="0.4">
      <c r="A50" s="215" t="e">
        <f>#REF!</f>
        <v>#REF!</v>
      </c>
      <c r="B50" s="137"/>
      <c r="C50" s="108"/>
      <c r="D50" s="69"/>
      <c r="E50" s="53">
        <f t="shared" si="0"/>
        <v>0</v>
      </c>
      <c r="F50" s="102"/>
      <c r="G50" s="103"/>
      <c r="H50" s="103"/>
      <c r="I50" s="103"/>
      <c r="J50" s="42"/>
      <c r="K50" s="42"/>
      <c r="L50" s="53">
        <f t="shared" si="1"/>
        <v>0</v>
      </c>
    </row>
    <row r="51" spans="1:12" x14ac:dyDescent="0.4">
      <c r="A51" s="215" t="e">
        <f>#REF!</f>
        <v>#REF!</v>
      </c>
      <c r="B51" s="137"/>
      <c r="C51" s="108"/>
      <c r="D51" s="69"/>
      <c r="E51" s="53">
        <f t="shared" si="0"/>
        <v>0</v>
      </c>
      <c r="F51" s="102"/>
      <c r="G51" s="103"/>
      <c r="H51" s="103"/>
      <c r="I51" s="103"/>
      <c r="J51" s="42"/>
      <c r="K51" s="42"/>
      <c r="L51" s="53">
        <f t="shared" si="1"/>
        <v>0</v>
      </c>
    </row>
    <row r="52" spans="1:12" x14ac:dyDescent="0.4">
      <c r="A52" s="215" t="e">
        <f>#REF!</f>
        <v>#REF!</v>
      </c>
      <c r="B52" s="137"/>
      <c r="C52" s="108"/>
      <c r="D52" s="69"/>
      <c r="E52" s="53">
        <f t="shared" si="0"/>
        <v>0</v>
      </c>
      <c r="F52" s="102"/>
      <c r="G52" s="103"/>
      <c r="H52" s="103"/>
      <c r="I52" s="103"/>
      <c r="J52" s="42"/>
      <c r="K52" s="42"/>
      <c r="L52" s="53">
        <f t="shared" si="1"/>
        <v>0</v>
      </c>
    </row>
    <row r="53" spans="1:12" x14ac:dyDescent="0.4">
      <c r="A53" s="215" t="e">
        <f>#REF!</f>
        <v>#REF!</v>
      </c>
      <c r="B53" s="137"/>
      <c r="C53" s="108"/>
      <c r="D53" s="69"/>
      <c r="E53" s="53">
        <f t="shared" si="0"/>
        <v>0</v>
      </c>
      <c r="F53" s="102"/>
      <c r="G53" s="103"/>
      <c r="H53" s="103"/>
      <c r="I53" s="103"/>
      <c r="J53" s="42"/>
      <c r="K53" s="42"/>
      <c r="L53" s="53">
        <f t="shared" si="1"/>
        <v>0</v>
      </c>
    </row>
    <row r="54" spans="1:12" x14ac:dyDescent="0.4">
      <c r="A54" s="215" t="e">
        <f>#REF!</f>
        <v>#REF!</v>
      </c>
      <c r="B54" s="137"/>
      <c r="C54" s="108"/>
      <c r="D54" s="69"/>
      <c r="E54" s="53">
        <f t="shared" si="0"/>
        <v>0</v>
      </c>
      <c r="F54" s="102"/>
      <c r="G54" s="103"/>
      <c r="H54" s="103"/>
      <c r="I54" s="103"/>
      <c r="J54" s="42"/>
      <c r="K54" s="42"/>
      <c r="L54" s="53">
        <f t="shared" si="1"/>
        <v>0</v>
      </c>
    </row>
    <row r="55" spans="1:12" x14ac:dyDescent="0.4">
      <c r="A55" s="215" t="e">
        <f>#REF!</f>
        <v>#REF!</v>
      </c>
      <c r="B55" s="137"/>
      <c r="C55" s="108"/>
      <c r="D55" s="69"/>
      <c r="E55" s="53">
        <f t="shared" si="0"/>
        <v>0</v>
      </c>
      <c r="F55" s="102"/>
      <c r="G55" s="103"/>
      <c r="H55" s="103"/>
      <c r="I55" s="103"/>
      <c r="J55" s="42"/>
      <c r="K55" s="42"/>
      <c r="L55" s="53">
        <f t="shared" si="1"/>
        <v>0</v>
      </c>
    </row>
    <row r="56" spans="1:12" x14ac:dyDescent="0.4">
      <c r="A56" s="215" t="e">
        <f>#REF!</f>
        <v>#REF!</v>
      </c>
      <c r="B56" s="137"/>
      <c r="C56" s="108"/>
      <c r="D56" s="69"/>
      <c r="E56" s="53">
        <f t="shared" si="0"/>
        <v>0</v>
      </c>
      <c r="F56" s="102"/>
      <c r="G56" s="103"/>
      <c r="H56" s="103"/>
      <c r="I56" s="103"/>
      <c r="J56" s="42"/>
      <c r="K56" s="42"/>
      <c r="L56" s="53">
        <f t="shared" si="1"/>
        <v>0</v>
      </c>
    </row>
    <row r="57" spans="1:12" x14ac:dyDescent="0.4">
      <c r="A57" s="215" t="e">
        <f>#REF!</f>
        <v>#REF!</v>
      </c>
      <c r="B57" s="137"/>
      <c r="C57" s="108"/>
      <c r="D57" s="69"/>
      <c r="E57" s="53">
        <f t="shared" si="0"/>
        <v>0</v>
      </c>
      <c r="F57" s="102"/>
      <c r="G57" s="103"/>
      <c r="H57" s="103"/>
      <c r="I57" s="103"/>
      <c r="J57" s="42"/>
      <c r="K57" s="42"/>
      <c r="L57" s="53">
        <f t="shared" si="1"/>
        <v>0</v>
      </c>
    </row>
    <row r="58" spans="1:12" x14ac:dyDescent="0.4">
      <c r="A58" s="215" t="e">
        <f>#REF!</f>
        <v>#REF!</v>
      </c>
      <c r="B58" s="137"/>
      <c r="C58" s="108"/>
      <c r="D58" s="69"/>
      <c r="E58" s="53">
        <f t="shared" si="0"/>
        <v>0</v>
      </c>
      <c r="F58" s="102"/>
      <c r="G58" s="103"/>
      <c r="H58" s="103"/>
      <c r="I58" s="103"/>
      <c r="J58" s="42"/>
      <c r="K58" s="42"/>
      <c r="L58" s="53">
        <f t="shared" si="1"/>
        <v>0</v>
      </c>
    </row>
    <row r="59" spans="1:12" x14ac:dyDescent="0.4">
      <c r="A59" s="215" t="e">
        <f>#REF!</f>
        <v>#REF!</v>
      </c>
      <c r="B59" s="137"/>
      <c r="C59" s="108"/>
      <c r="D59" s="69"/>
      <c r="E59" s="53">
        <f t="shared" si="0"/>
        <v>0</v>
      </c>
      <c r="F59" s="102"/>
      <c r="G59" s="103"/>
      <c r="H59" s="103"/>
      <c r="I59" s="103"/>
      <c r="J59" s="42"/>
      <c r="K59" s="42"/>
      <c r="L59" s="53">
        <f t="shared" si="1"/>
        <v>0</v>
      </c>
    </row>
    <row r="60" spans="1:12" x14ac:dyDescent="0.4">
      <c r="A60" s="215" t="e">
        <f>#REF!</f>
        <v>#REF!</v>
      </c>
      <c r="B60" s="137"/>
      <c r="C60" s="108"/>
      <c r="D60" s="69"/>
      <c r="E60" s="53">
        <f t="shared" si="0"/>
        <v>0</v>
      </c>
      <c r="F60" s="102"/>
      <c r="G60" s="103"/>
      <c r="H60" s="103"/>
      <c r="I60" s="103"/>
      <c r="J60" s="42"/>
      <c r="K60" s="42"/>
      <c r="L60" s="53">
        <f t="shared" si="1"/>
        <v>0</v>
      </c>
    </row>
    <row r="61" spans="1:12" x14ac:dyDescent="0.4">
      <c r="A61" s="215" t="e">
        <f>#REF!</f>
        <v>#REF!</v>
      </c>
      <c r="B61" s="137"/>
      <c r="C61" s="108"/>
      <c r="D61" s="69"/>
      <c r="E61" s="53">
        <f t="shared" si="0"/>
        <v>0</v>
      </c>
      <c r="F61" s="102"/>
      <c r="G61" s="103"/>
      <c r="H61" s="103"/>
      <c r="I61" s="103"/>
      <c r="J61" s="42"/>
      <c r="K61" s="42"/>
      <c r="L61" s="53">
        <f t="shared" si="1"/>
        <v>0</v>
      </c>
    </row>
    <row r="62" spans="1:12" x14ac:dyDescent="0.4">
      <c r="A62" s="215" t="e">
        <f>#REF!</f>
        <v>#REF!</v>
      </c>
      <c r="B62" s="137"/>
      <c r="C62" s="108"/>
      <c r="D62" s="69"/>
      <c r="E62" s="53">
        <f t="shared" si="0"/>
        <v>0</v>
      </c>
      <c r="F62" s="102"/>
      <c r="G62" s="103"/>
      <c r="H62" s="103"/>
      <c r="I62" s="103"/>
      <c r="J62" s="42"/>
      <c r="K62" s="42"/>
      <c r="L62" s="53">
        <f t="shared" si="1"/>
        <v>0</v>
      </c>
    </row>
    <row r="63" spans="1:12" x14ac:dyDescent="0.4">
      <c r="A63" s="215" t="e">
        <f>#REF!</f>
        <v>#REF!</v>
      </c>
      <c r="B63" s="137"/>
      <c r="C63" s="108"/>
      <c r="D63" s="69"/>
      <c r="E63" s="53">
        <f t="shared" si="0"/>
        <v>0</v>
      </c>
      <c r="F63" s="102"/>
      <c r="G63" s="103"/>
      <c r="H63" s="103"/>
      <c r="I63" s="103"/>
      <c r="J63" s="42"/>
      <c r="K63" s="42"/>
      <c r="L63" s="53">
        <f t="shared" si="1"/>
        <v>0</v>
      </c>
    </row>
    <row r="64" spans="1:12" x14ac:dyDescent="0.4">
      <c r="A64" s="234" t="s">
        <v>26</v>
      </c>
      <c r="B64" s="115"/>
      <c r="C64" s="109">
        <f>SUM(C33:C63)</f>
        <v>4</v>
      </c>
      <c r="D64" s="106">
        <f>SUM(D33:D63)</f>
        <v>5</v>
      </c>
      <c r="E64" s="89">
        <f>SUM(E33:E63)</f>
        <v>133000</v>
      </c>
      <c r="F64" s="104"/>
      <c r="G64" s="105"/>
      <c r="H64" s="105"/>
      <c r="I64" s="105"/>
      <c r="J64" s="89"/>
      <c r="K64" s="89">
        <f>SUM(K33:K63)</f>
        <v>0</v>
      </c>
      <c r="L64" s="98">
        <f>SUM(L33:L63)</f>
        <v>133000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/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 t="s">
        <v>188</v>
      </c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I7:L8"/>
    <mergeCell ref="A54:B54"/>
    <mergeCell ref="A41:B41"/>
    <mergeCell ref="D13:D14"/>
    <mergeCell ref="A46:B46"/>
    <mergeCell ref="A37:B37"/>
    <mergeCell ref="G13:I14"/>
    <mergeCell ref="D9:D10"/>
    <mergeCell ref="C17:C18"/>
    <mergeCell ref="D25:D26"/>
    <mergeCell ref="A31:L31"/>
    <mergeCell ref="A27:C28"/>
    <mergeCell ref="I23:L24"/>
    <mergeCell ref="E17:F18"/>
    <mergeCell ref="C19:C20"/>
    <mergeCell ref="G17:H18"/>
    <mergeCell ref="A52:B52"/>
    <mergeCell ref="A7:D8"/>
    <mergeCell ref="C21:C22"/>
    <mergeCell ref="J9:L10"/>
    <mergeCell ref="D15:D16"/>
    <mergeCell ref="J11:L12"/>
    <mergeCell ref="A33:B33"/>
    <mergeCell ref="A42:B42"/>
    <mergeCell ref="I19:L20"/>
    <mergeCell ref="A35:B35"/>
    <mergeCell ref="A61:B61"/>
    <mergeCell ref="A13:B14"/>
    <mergeCell ref="G27:L30"/>
    <mergeCell ref="I21:L22"/>
    <mergeCell ref="C25:C26"/>
    <mergeCell ref="J13:L14"/>
    <mergeCell ref="A19:B20"/>
    <mergeCell ref="G23:H24"/>
    <mergeCell ref="A21:B22"/>
    <mergeCell ref="D69:H70"/>
    <mergeCell ref="A53:B53"/>
    <mergeCell ref="A62:B62"/>
    <mergeCell ref="A39:B39"/>
    <mergeCell ref="A48:B48"/>
    <mergeCell ref="G25:L26"/>
    <mergeCell ref="A59:B59"/>
    <mergeCell ref="A45:B45"/>
    <mergeCell ref="A32:B32"/>
    <mergeCell ref="A50:B50"/>
    <mergeCell ref="A47:B47"/>
    <mergeCell ref="A34:B34"/>
    <mergeCell ref="A49:B49"/>
    <mergeCell ref="A36:B36"/>
    <mergeCell ref="A64:B64"/>
    <mergeCell ref="A63:B63"/>
    <mergeCell ref="I69:L70"/>
    <mergeCell ref="A67:C68"/>
    <mergeCell ref="A69:C70"/>
    <mergeCell ref="A9:B10"/>
    <mergeCell ref="E25:F26"/>
    <mergeCell ref="A55:B55"/>
    <mergeCell ref="I67:L68"/>
    <mergeCell ref="E21:F22"/>
    <mergeCell ref="G21:H22"/>
    <mergeCell ref="C23:C24"/>
    <mergeCell ref="A57:B57"/>
    <mergeCell ref="A65:L66"/>
    <mergeCell ref="E13:F14"/>
    <mergeCell ref="G15:I16"/>
    <mergeCell ref="A38:B38"/>
    <mergeCell ref="A43:B43"/>
    <mergeCell ref="E23:F24"/>
    <mergeCell ref="A40:B40"/>
    <mergeCell ref="A60:B60"/>
    <mergeCell ref="A23:B26"/>
    <mergeCell ref="A17:B18"/>
    <mergeCell ref="C11:C12"/>
    <mergeCell ref="I17:L18"/>
    <mergeCell ref="A51:B51"/>
    <mergeCell ref="D21:D22"/>
    <mergeCell ref="D67:H68"/>
    <mergeCell ref="A56:B56"/>
    <mergeCell ref="E7:H8"/>
    <mergeCell ref="A3:L4"/>
    <mergeCell ref="C13:C14"/>
    <mergeCell ref="D19:D20"/>
    <mergeCell ref="A5:L6"/>
    <mergeCell ref="C15:C16"/>
    <mergeCell ref="A44:B44"/>
    <mergeCell ref="A29:C30"/>
    <mergeCell ref="A58:B58"/>
    <mergeCell ref="A15:B16"/>
    <mergeCell ref="D27:F30"/>
    <mergeCell ref="E15:F16"/>
    <mergeCell ref="D17:D18"/>
    <mergeCell ref="D11:D12"/>
    <mergeCell ref="J15:L16"/>
    <mergeCell ref="A11:B12"/>
    <mergeCell ref="E19:F20"/>
    <mergeCell ref="D23:D24"/>
    <mergeCell ref="G19:H20"/>
    <mergeCell ref="E9:F10"/>
    <mergeCell ref="G9:I10"/>
    <mergeCell ref="E11:F12"/>
    <mergeCell ref="G11:I12"/>
    <mergeCell ref="C9:C10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A1:L70"/>
  <sheetViews>
    <sheetView topLeftCell="A7" zoomScale="55" zoomScaleNormal="55" workbookViewId="0">
      <selection activeCell="C15" sqref="C15:C16"/>
    </sheetView>
  </sheetViews>
  <sheetFormatPr defaultRowHeight="13.9" x14ac:dyDescent="0.4"/>
  <cols>
    <col min="1" max="3" width="9.0625" style="3" bestFit="1" customWidth="1"/>
    <col min="4" max="4" width="9.75" style="3" bestFit="1" customWidth="1"/>
    <col min="5" max="12" width="9.0625" style="3" bestFit="1" customWidth="1"/>
    <col min="13" max="16384" width="9" style="3"/>
  </cols>
  <sheetData>
    <row r="1" spans="1:12" x14ac:dyDescent="0.4">
      <c r="A1" s="2">
        <v>1</v>
      </c>
      <c r="B1" s="2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190" t="s">
        <v>0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1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3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/>
      <c r="D11" s="214">
        <v>2000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f>D64</f>
        <v>0</v>
      </c>
      <c r="D13" s="214">
        <v>11000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11000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4500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5000</v>
      </c>
      <c r="E19" s="214">
        <f>D19*C19</f>
        <v>0</v>
      </c>
      <c r="F19" s="146"/>
      <c r="G19" s="214" t="s">
        <v>16</v>
      </c>
      <c r="H19" s="146"/>
      <c r="I19" s="223"/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6000</v>
      </c>
      <c r="E21" s="214">
        <f>D21*C21</f>
        <v>0</v>
      </c>
      <c r="F21" s="146"/>
      <c r="G21" s="214" t="s">
        <v>18</v>
      </c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E64</f>
        <v>0</v>
      </c>
      <c r="D25" s="229">
        <v>3000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I17+I19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6" t="s">
        <v>9</v>
      </c>
      <c r="D32" s="7" t="s">
        <v>219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42"/>
      <c r="K33" s="42"/>
      <c r="L33" s="53">
        <f t="shared" ref="L33:L63" si="0">I33*6000+D33*11000</f>
        <v>0</v>
      </c>
    </row>
    <row r="34" spans="1:12" x14ac:dyDescent="0.4">
      <c r="A34" s="215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42"/>
      <c r="K47" s="42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42"/>
      <c r="K48" s="42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42"/>
      <c r="K49" s="42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42"/>
      <c r="K50" s="42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42"/>
      <c r="K51" s="42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42"/>
      <c r="K52" s="42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42"/>
      <c r="K53" s="42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42"/>
      <c r="K54" s="42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74">
        <f t="shared" ref="C64:L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89">
        <f t="shared" si="1"/>
        <v>0</v>
      </c>
      <c r="K64" s="89">
        <f t="shared" si="1"/>
        <v>0</v>
      </c>
      <c r="L64" s="98">
        <f t="shared" si="1"/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 t="s">
        <v>29</v>
      </c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I7:L8"/>
    <mergeCell ref="A54:B54"/>
    <mergeCell ref="A41:B41"/>
    <mergeCell ref="D13:D14"/>
    <mergeCell ref="A46:B46"/>
    <mergeCell ref="A37:B37"/>
    <mergeCell ref="G13:I14"/>
    <mergeCell ref="D9:D10"/>
    <mergeCell ref="C17:C18"/>
    <mergeCell ref="D25:D26"/>
    <mergeCell ref="A31:L31"/>
    <mergeCell ref="A27:C28"/>
    <mergeCell ref="I23:L24"/>
    <mergeCell ref="E17:F18"/>
    <mergeCell ref="C19:C20"/>
    <mergeCell ref="G17:H18"/>
    <mergeCell ref="A52:B52"/>
    <mergeCell ref="A7:D8"/>
    <mergeCell ref="C21:C22"/>
    <mergeCell ref="J9:L10"/>
    <mergeCell ref="D15:D16"/>
    <mergeCell ref="J11:L12"/>
    <mergeCell ref="A33:B33"/>
    <mergeCell ref="A42:B42"/>
    <mergeCell ref="I19:L20"/>
    <mergeCell ref="A35:B35"/>
    <mergeCell ref="A61:B61"/>
    <mergeCell ref="A13:B14"/>
    <mergeCell ref="G27:L30"/>
    <mergeCell ref="I21:L22"/>
    <mergeCell ref="C25:C26"/>
    <mergeCell ref="A19:B20"/>
    <mergeCell ref="J13:L14"/>
    <mergeCell ref="G23:H24"/>
    <mergeCell ref="A21:B22"/>
    <mergeCell ref="D69:H70"/>
    <mergeCell ref="A53:B53"/>
    <mergeCell ref="A62:B62"/>
    <mergeCell ref="A39:B39"/>
    <mergeCell ref="A48:B48"/>
    <mergeCell ref="G25:L26"/>
    <mergeCell ref="A59:B59"/>
    <mergeCell ref="A45:B45"/>
    <mergeCell ref="A32:B32"/>
    <mergeCell ref="A50:B50"/>
    <mergeCell ref="A47:B47"/>
    <mergeCell ref="A34:B34"/>
    <mergeCell ref="A49:B49"/>
    <mergeCell ref="A36:B36"/>
    <mergeCell ref="A64:B64"/>
    <mergeCell ref="A63:B63"/>
    <mergeCell ref="I69:L70"/>
    <mergeCell ref="A67:C68"/>
    <mergeCell ref="A69:C70"/>
    <mergeCell ref="A9:B10"/>
    <mergeCell ref="E25:F26"/>
    <mergeCell ref="A55:B55"/>
    <mergeCell ref="I67:L68"/>
    <mergeCell ref="E21:F22"/>
    <mergeCell ref="C23:C24"/>
    <mergeCell ref="G21:H22"/>
    <mergeCell ref="A57:B57"/>
    <mergeCell ref="A65:L66"/>
    <mergeCell ref="E13:F14"/>
    <mergeCell ref="G15:I16"/>
    <mergeCell ref="A38:B38"/>
    <mergeCell ref="A43:B43"/>
    <mergeCell ref="E23:F24"/>
    <mergeCell ref="A40:B40"/>
    <mergeCell ref="A60:B60"/>
    <mergeCell ref="A23:B26"/>
    <mergeCell ref="A17:B18"/>
    <mergeCell ref="C11:C12"/>
    <mergeCell ref="I17:L18"/>
    <mergeCell ref="A51:B51"/>
    <mergeCell ref="D21:D22"/>
    <mergeCell ref="D67:H68"/>
    <mergeCell ref="A56:B56"/>
    <mergeCell ref="E7:H8"/>
    <mergeCell ref="A3:L4"/>
    <mergeCell ref="C13:C14"/>
    <mergeCell ref="D19:D20"/>
    <mergeCell ref="A5:L6"/>
    <mergeCell ref="C15:C16"/>
    <mergeCell ref="A44:B44"/>
    <mergeCell ref="A29:C30"/>
    <mergeCell ref="A58:B58"/>
    <mergeCell ref="A15:B16"/>
    <mergeCell ref="D27:F30"/>
    <mergeCell ref="E15:F16"/>
    <mergeCell ref="D17:D18"/>
    <mergeCell ref="D11:D12"/>
    <mergeCell ref="J15:L16"/>
    <mergeCell ref="A11:B12"/>
    <mergeCell ref="E19:F20"/>
    <mergeCell ref="D23:D24"/>
    <mergeCell ref="G19:H20"/>
    <mergeCell ref="E9:F10"/>
    <mergeCell ref="G9:I10"/>
    <mergeCell ref="E11:F12"/>
    <mergeCell ref="G11:I12"/>
    <mergeCell ref="C9:C10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L70"/>
  <sheetViews>
    <sheetView topLeftCell="A11" zoomScale="55" zoomScaleNormal="55" workbookViewId="0">
      <selection activeCell="L41" sqref="L41"/>
    </sheetView>
  </sheetViews>
  <sheetFormatPr defaultRowHeight="13.9" x14ac:dyDescent="0.4"/>
  <cols>
    <col min="1" max="3" width="9.0625" style="3" bestFit="1" customWidth="1"/>
    <col min="4" max="4" width="9.75" style="3" bestFit="1" customWidth="1"/>
    <col min="5" max="12" width="9.0625" style="3" bestFit="1" customWidth="1"/>
    <col min="13" max="16384" width="9" style="3"/>
  </cols>
  <sheetData>
    <row r="1" spans="1:12" x14ac:dyDescent="0.4">
      <c r="A1" s="31">
        <v>1</v>
      </c>
      <c r="B1" s="31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241" t="s">
        <v>48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189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3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f>C64</f>
        <v>0</v>
      </c>
      <c r="D11" s="214">
        <v>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f>D64</f>
        <v>0</v>
      </c>
      <c r="D13" s="214">
        <v>11000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0</v>
      </c>
      <c r="E19" s="214">
        <f>D19*C19</f>
        <v>0</v>
      </c>
      <c r="F19" s="146"/>
      <c r="G19" s="214" t="s">
        <v>16</v>
      </c>
      <c r="H19" s="146"/>
      <c r="I19" s="223">
        <v>0</v>
      </c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0</v>
      </c>
      <c r="E21" s="214">
        <f>D21*C21</f>
        <v>0</v>
      </c>
      <c r="F21" s="146"/>
      <c r="G21" s="214" t="s">
        <v>18</v>
      </c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F64</f>
        <v>0</v>
      </c>
      <c r="D25" s="229">
        <v>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I17+I19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6" t="s">
        <v>9</v>
      </c>
      <c r="D32" s="7" t="s">
        <v>219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42"/>
      <c r="K33" s="42"/>
      <c r="L33" s="53">
        <f t="shared" ref="L33:L63" si="0">D33*11000</f>
        <v>0</v>
      </c>
    </row>
    <row r="34" spans="1:12" x14ac:dyDescent="0.4">
      <c r="A34" s="215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42"/>
      <c r="K47" s="42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42"/>
      <c r="K48" s="42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42"/>
      <c r="K49" s="42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42"/>
      <c r="K50" s="42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42"/>
      <c r="K51" s="42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42"/>
      <c r="K52" s="42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42"/>
      <c r="K53" s="42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42"/>
      <c r="K54" s="42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74">
        <f t="shared" ref="C64:I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89">
        <f t="shared" ref="J64:L64" si="2">SUM(J33:J63)</f>
        <v>0</v>
      </c>
      <c r="K64" s="89">
        <f t="shared" si="2"/>
        <v>0</v>
      </c>
      <c r="L64" s="98">
        <f t="shared" si="2"/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 t="s">
        <v>190</v>
      </c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I7:L8"/>
    <mergeCell ref="A54:B54"/>
    <mergeCell ref="A41:B41"/>
    <mergeCell ref="D13:D14"/>
    <mergeCell ref="A46:B46"/>
    <mergeCell ref="A37:B37"/>
    <mergeCell ref="G13:I14"/>
    <mergeCell ref="D9:D10"/>
    <mergeCell ref="C17:C18"/>
    <mergeCell ref="D25:D26"/>
    <mergeCell ref="A31:L31"/>
    <mergeCell ref="A27:C28"/>
    <mergeCell ref="I23:L24"/>
    <mergeCell ref="E17:F18"/>
    <mergeCell ref="C19:C20"/>
    <mergeCell ref="G17:H18"/>
    <mergeCell ref="A52:B52"/>
    <mergeCell ref="A7:D8"/>
    <mergeCell ref="C21:C22"/>
    <mergeCell ref="J9:L10"/>
    <mergeCell ref="D15:D16"/>
    <mergeCell ref="J11:L12"/>
    <mergeCell ref="A33:B33"/>
    <mergeCell ref="A42:B42"/>
    <mergeCell ref="I19:L20"/>
    <mergeCell ref="A35:B35"/>
    <mergeCell ref="A61:B61"/>
    <mergeCell ref="A13:B14"/>
    <mergeCell ref="G27:L30"/>
    <mergeCell ref="I21:L22"/>
    <mergeCell ref="C25:C26"/>
    <mergeCell ref="A19:B20"/>
    <mergeCell ref="J13:L14"/>
    <mergeCell ref="G23:H24"/>
    <mergeCell ref="A21:B22"/>
    <mergeCell ref="D69:H70"/>
    <mergeCell ref="A53:B53"/>
    <mergeCell ref="A62:B62"/>
    <mergeCell ref="A39:B39"/>
    <mergeCell ref="A48:B48"/>
    <mergeCell ref="G25:L26"/>
    <mergeCell ref="A59:B59"/>
    <mergeCell ref="A45:B45"/>
    <mergeCell ref="A32:B32"/>
    <mergeCell ref="A50:B50"/>
    <mergeCell ref="A47:B47"/>
    <mergeCell ref="A34:B34"/>
    <mergeCell ref="A49:B49"/>
    <mergeCell ref="A36:B36"/>
    <mergeCell ref="A64:B64"/>
    <mergeCell ref="A63:B63"/>
    <mergeCell ref="I69:L70"/>
    <mergeCell ref="A67:C68"/>
    <mergeCell ref="A69:C70"/>
    <mergeCell ref="A9:B10"/>
    <mergeCell ref="E25:F26"/>
    <mergeCell ref="A55:B55"/>
    <mergeCell ref="I67:L68"/>
    <mergeCell ref="E21:F22"/>
    <mergeCell ref="C23:C24"/>
    <mergeCell ref="G21:H22"/>
    <mergeCell ref="A57:B57"/>
    <mergeCell ref="A65:L66"/>
    <mergeCell ref="E13:F14"/>
    <mergeCell ref="G15:I16"/>
    <mergeCell ref="A38:B38"/>
    <mergeCell ref="A43:B43"/>
    <mergeCell ref="E23:F24"/>
    <mergeCell ref="A40:B40"/>
    <mergeCell ref="A60:B60"/>
    <mergeCell ref="A23:B26"/>
    <mergeCell ref="A17:B18"/>
    <mergeCell ref="C11:C12"/>
    <mergeCell ref="I17:L18"/>
    <mergeCell ref="A51:B51"/>
    <mergeCell ref="D21:D22"/>
    <mergeCell ref="D67:H68"/>
    <mergeCell ref="A56:B56"/>
    <mergeCell ref="E7:H8"/>
    <mergeCell ref="A3:L4"/>
    <mergeCell ref="C13:C14"/>
    <mergeCell ref="D19:D20"/>
    <mergeCell ref="A5:L6"/>
    <mergeCell ref="C15:C16"/>
    <mergeCell ref="A44:B44"/>
    <mergeCell ref="A29:C30"/>
    <mergeCell ref="A58:B58"/>
    <mergeCell ref="A15:B16"/>
    <mergeCell ref="D27:F30"/>
    <mergeCell ref="E15:F16"/>
    <mergeCell ref="D17:D18"/>
    <mergeCell ref="D11:D12"/>
    <mergeCell ref="J15:L16"/>
    <mergeCell ref="A11:B12"/>
    <mergeCell ref="E19:F20"/>
    <mergeCell ref="D23:D24"/>
    <mergeCell ref="G19:H20"/>
    <mergeCell ref="E9:F10"/>
    <mergeCell ref="G9:I10"/>
    <mergeCell ref="E11:F12"/>
    <mergeCell ref="G11:I12"/>
    <mergeCell ref="C9:C10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A1:L70"/>
  <sheetViews>
    <sheetView zoomScale="55" zoomScaleNormal="55" workbookViewId="0">
      <selection activeCell="C32" sqref="C32:I64"/>
    </sheetView>
  </sheetViews>
  <sheetFormatPr defaultRowHeight="13.9" x14ac:dyDescent="0.4"/>
  <cols>
    <col min="1" max="3" width="9.0625" style="3" bestFit="1" customWidth="1"/>
    <col min="4" max="4" width="10.3125" style="3" bestFit="1" customWidth="1"/>
    <col min="5" max="12" width="9.0625" style="3" bestFit="1" customWidth="1"/>
    <col min="13" max="16384" width="9" style="3"/>
  </cols>
  <sheetData>
    <row r="1" spans="1:12" x14ac:dyDescent="0.4">
      <c r="A1" s="2">
        <v>1</v>
      </c>
      <c r="B1" s="2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190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191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3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f>C64</f>
        <v>0</v>
      </c>
      <c r="D11" s="214">
        <v>1900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f>D64</f>
        <v>0</v>
      </c>
      <c r="D13" s="214">
        <v>12000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14000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4500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5000</v>
      </c>
      <c r="E19" s="214">
        <f>D19*C19</f>
        <v>0</v>
      </c>
      <c r="F19" s="146"/>
      <c r="G19" s="214" t="s">
        <v>16</v>
      </c>
      <c r="H19" s="146"/>
      <c r="I19" s="223"/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5500</v>
      </c>
      <c r="E21" s="214">
        <f>D21*C21</f>
        <v>0</v>
      </c>
      <c r="F21" s="146"/>
      <c r="G21" s="214" t="s">
        <v>18</v>
      </c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F64</f>
        <v>0</v>
      </c>
      <c r="D25" s="229">
        <v>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I17+I19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6" t="s">
        <v>9</v>
      </c>
      <c r="D32" s="7" t="s">
        <v>219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42"/>
      <c r="K33" s="42"/>
      <c r="L33" s="53">
        <f t="shared" ref="L33:L63" si="0">I33*5500+H33*4000+G33*4000-F33*3000+E33*14000+D33*12000+C33*1700</f>
        <v>0</v>
      </c>
    </row>
    <row r="34" spans="1:12" x14ac:dyDescent="0.4">
      <c r="A34" s="215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42"/>
      <c r="K47" s="42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42"/>
      <c r="K48" s="42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42"/>
      <c r="K49" s="42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42"/>
      <c r="K50" s="42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42"/>
      <c r="K51" s="42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42"/>
      <c r="K52" s="42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42"/>
      <c r="K53" s="42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42"/>
      <c r="K54" s="42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74">
        <f t="shared" ref="C64:I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89">
        <f t="shared" ref="J64:L64" si="2">SUM(J33:J63)</f>
        <v>0</v>
      </c>
      <c r="K64" s="89">
        <f t="shared" si="2"/>
        <v>0</v>
      </c>
      <c r="L64" s="98">
        <f t="shared" si="2"/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/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I7:L8"/>
    <mergeCell ref="A54:B54"/>
    <mergeCell ref="A41:B41"/>
    <mergeCell ref="D13:D14"/>
    <mergeCell ref="A46:B46"/>
    <mergeCell ref="A37:B37"/>
    <mergeCell ref="G13:I14"/>
    <mergeCell ref="D9:D10"/>
    <mergeCell ref="C17:C18"/>
    <mergeCell ref="D25:D26"/>
    <mergeCell ref="A31:L31"/>
    <mergeCell ref="A27:C28"/>
    <mergeCell ref="I23:L24"/>
    <mergeCell ref="E17:F18"/>
    <mergeCell ref="C19:C20"/>
    <mergeCell ref="G17:H18"/>
    <mergeCell ref="A52:B52"/>
    <mergeCell ref="A7:D8"/>
    <mergeCell ref="C21:C22"/>
    <mergeCell ref="J9:L10"/>
    <mergeCell ref="D15:D16"/>
    <mergeCell ref="J11:L12"/>
    <mergeCell ref="A33:B33"/>
    <mergeCell ref="A42:B42"/>
    <mergeCell ref="I19:L20"/>
    <mergeCell ref="A35:B35"/>
    <mergeCell ref="A61:B61"/>
    <mergeCell ref="A13:B14"/>
    <mergeCell ref="G27:L30"/>
    <mergeCell ref="I21:L22"/>
    <mergeCell ref="C25:C26"/>
    <mergeCell ref="A19:B20"/>
    <mergeCell ref="J13:L14"/>
    <mergeCell ref="G23:H24"/>
    <mergeCell ref="A21:B22"/>
    <mergeCell ref="D69:H70"/>
    <mergeCell ref="A53:B53"/>
    <mergeCell ref="A62:B62"/>
    <mergeCell ref="A39:B39"/>
    <mergeCell ref="A48:B48"/>
    <mergeCell ref="G25:L26"/>
    <mergeCell ref="A59:B59"/>
    <mergeCell ref="A45:B45"/>
    <mergeCell ref="A32:B32"/>
    <mergeCell ref="A50:B50"/>
    <mergeCell ref="A47:B47"/>
    <mergeCell ref="A34:B34"/>
    <mergeCell ref="A49:B49"/>
    <mergeCell ref="A36:B36"/>
    <mergeCell ref="A64:B64"/>
    <mergeCell ref="A63:B63"/>
    <mergeCell ref="I69:L70"/>
    <mergeCell ref="A67:C68"/>
    <mergeCell ref="A69:C70"/>
    <mergeCell ref="A9:B10"/>
    <mergeCell ref="E25:F26"/>
    <mergeCell ref="A55:B55"/>
    <mergeCell ref="I67:L68"/>
    <mergeCell ref="E21:F22"/>
    <mergeCell ref="C23:C24"/>
    <mergeCell ref="G21:H22"/>
    <mergeCell ref="A57:B57"/>
    <mergeCell ref="A65:L66"/>
    <mergeCell ref="E13:F14"/>
    <mergeCell ref="G15:I16"/>
    <mergeCell ref="A38:B38"/>
    <mergeCell ref="A43:B43"/>
    <mergeCell ref="E23:F24"/>
    <mergeCell ref="A40:B40"/>
    <mergeCell ref="A60:B60"/>
    <mergeCell ref="A23:B26"/>
    <mergeCell ref="A17:B18"/>
    <mergeCell ref="C11:C12"/>
    <mergeCell ref="I17:L18"/>
    <mergeCell ref="A51:B51"/>
    <mergeCell ref="D21:D22"/>
    <mergeCell ref="D67:H68"/>
    <mergeCell ref="A56:B56"/>
    <mergeCell ref="E7:H8"/>
    <mergeCell ref="A3:L4"/>
    <mergeCell ref="C13:C14"/>
    <mergeCell ref="D19:D20"/>
    <mergeCell ref="A5:L6"/>
    <mergeCell ref="C15:C16"/>
    <mergeCell ref="A44:B44"/>
    <mergeCell ref="A29:C30"/>
    <mergeCell ref="A58:B58"/>
    <mergeCell ref="A15:B16"/>
    <mergeCell ref="D27:F30"/>
    <mergeCell ref="E15:F16"/>
    <mergeCell ref="D17:D18"/>
    <mergeCell ref="D11:D12"/>
    <mergeCell ref="J15:L16"/>
    <mergeCell ref="A11:B12"/>
    <mergeCell ref="E19:F20"/>
    <mergeCell ref="D23:D24"/>
    <mergeCell ref="G19:H20"/>
    <mergeCell ref="E9:F10"/>
    <mergeCell ref="G9:I10"/>
    <mergeCell ref="E11:F12"/>
    <mergeCell ref="G11:I12"/>
    <mergeCell ref="C9:C10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A1:L70"/>
  <sheetViews>
    <sheetView zoomScale="55" zoomScaleNormal="55" workbookViewId="0">
      <selection activeCell="L44" sqref="L44"/>
    </sheetView>
  </sheetViews>
  <sheetFormatPr defaultRowHeight="13.9" x14ac:dyDescent="0.4"/>
  <cols>
    <col min="1" max="3" width="9.0625" style="3" bestFit="1" customWidth="1"/>
    <col min="4" max="4" width="10.3125" style="3" bestFit="1" customWidth="1"/>
    <col min="5" max="12" width="9.0625" style="3" bestFit="1" customWidth="1"/>
    <col min="13" max="16384" width="9" style="3"/>
  </cols>
  <sheetData>
    <row r="1" spans="1:12" x14ac:dyDescent="0.4">
      <c r="A1" s="31">
        <v>1</v>
      </c>
      <c r="B1" s="31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235" t="s">
        <v>111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192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115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f>C64</f>
        <v>0</v>
      </c>
      <c r="D11" s="214">
        <v>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f>D64</f>
        <v>0</v>
      </c>
      <c r="D13" s="214">
        <v>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14000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0</v>
      </c>
      <c r="E19" s="214">
        <f>D19*C19</f>
        <v>0</v>
      </c>
      <c r="F19" s="146"/>
      <c r="G19" s="214" t="s">
        <v>16</v>
      </c>
      <c r="H19" s="146"/>
      <c r="I19" s="223"/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0</v>
      </c>
      <c r="E21" s="214">
        <f>D21*C21</f>
        <v>0</v>
      </c>
      <c r="F21" s="146"/>
      <c r="G21" s="214" t="s">
        <v>18</v>
      </c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F64</f>
        <v>0</v>
      </c>
      <c r="D25" s="229">
        <v>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I17+I19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6" t="s">
        <v>9</v>
      </c>
      <c r="D32" s="7" t="s">
        <v>219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42"/>
      <c r="K33" s="42"/>
      <c r="L33" s="53">
        <f t="shared" ref="L33:L63" si="0">E33*13000</f>
        <v>0</v>
      </c>
    </row>
    <row r="34" spans="1:12" x14ac:dyDescent="0.4">
      <c r="A34" s="215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42"/>
      <c r="K47" s="42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42"/>
      <c r="K48" s="42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42"/>
      <c r="K49" s="42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42"/>
      <c r="K50" s="42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42"/>
      <c r="K51" s="42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42"/>
      <c r="K52" s="42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42"/>
      <c r="K53" s="42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42"/>
      <c r="K54" s="42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74">
        <f t="shared" ref="C64:I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89">
        <f t="shared" ref="J64:L64" si="2">SUM(J33:J63)</f>
        <v>0</v>
      </c>
      <c r="K64" s="89">
        <f t="shared" si="2"/>
        <v>0</v>
      </c>
      <c r="L64" s="98">
        <f t="shared" si="2"/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/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I7:L8"/>
    <mergeCell ref="A54:B54"/>
    <mergeCell ref="A41:B41"/>
    <mergeCell ref="D13:D14"/>
    <mergeCell ref="A46:B46"/>
    <mergeCell ref="A37:B37"/>
    <mergeCell ref="G13:I14"/>
    <mergeCell ref="D9:D10"/>
    <mergeCell ref="C17:C18"/>
    <mergeCell ref="D25:D26"/>
    <mergeCell ref="A31:L31"/>
    <mergeCell ref="A27:C28"/>
    <mergeCell ref="I23:L24"/>
    <mergeCell ref="E17:F18"/>
    <mergeCell ref="C19:C20"/>
    <mergeCell ref="G17:H18"/>
    <mergeCell ref="A52:B52"/>
    <mergeCell ref="A7:D8"/>
    <mergeCell ref="C21:C22"/>
    <mergeCell ref="J9:L10"/>
    <mergeCell ref="D15:D16"/>
    <mergeCell ref="J11:L12"/>
    <mergeCell ref="A33:B33"/>
    <mergeCell ref="A42:B42"/>
    <mergeCell ref="I19:L20"/>
    <mergeCell ref="A35:B35"/>
    <mergeCell ref="A61:B61"/>
    <mergeCell ref="A13:B14"/>
    <mergeCell ref="G27:L30"/>
    <mergeCell ref="I21:L22"/>
    <mergeCell ref="C25:C26"/>
    <mergeCell ref="A19:B20"/>
    <mergeCell ref="J13:L14"/>
    <mergeCell ref="G23:H24"/>
    <mergeCell ref="A21:B22"/>
    <mergeCell ref="D69:H70"/>
    <mergeCell ref="A53:B53"/>
    <mergeCell ref="A62:B62"/>
    <mergeCell ref="A39:B39"/>
    <mergeCell ref="A48:B48"/>
    <mergeCell ref="G25:L26"/>
    <mergeCell ref="A59:B59"/>
    <mergeCell ref="A45:B45"/>
    <mergeCell ref="A32:B32"/>
    <mergeCell ref="A50:B50"/>
    <mergeCell ref="A47:B47"/>
    <mergeCell ref="A34:B34"/>
    <mergeCell ref="A49:B49"/>
    <mergeCell ref="A36:B36"/>
    <mergeCell ref="A64:B64"/>
    <mergeCell ref="A63:B63"/>
    <mergeCell ref="I69:L70"/>
    <mergeCell ref="A67:C68"/>
    <mergeCell ref="A69:C70"/>
    <mergeCell ref="A9:B10"/>
    <mergeCell ref="E25:F26"/>
    <mergeCell ref="A55:B55"/>
    <mergeCell ref="I67:L68"/>
    <mergeCell ref="E21:F22"/>
    <mergeCell ref="C23:C24"/>
    <mergeCell ref="G21:H22"/>
    <mergeCell ref="A57:B57"/>
    <mergeCell ref="A65:L66"/>
    <mergeCell ref="E13:F14"/>
    <mergeCell ref="G15:I16"/>
    <mergeCell ref="A38:B38"/>
    <mergeCell ref="A43:B43"/>
    <mergeCell ref="E23:F24"/>
    <mergeCell ref="A40:B40"/>
    <mergeCell ref="A60:B60"/>
    <mergeCell ref="A23:B26"/>
    <mergeCell ref="A17:B18"/>
    <mergeCell ref="C11:C12"/>
    <mergeCell ref="I17:L18"/>
    <mergeCell ref="A51:B51"/>
    <mergeCell ref="D21:D22"/>
    <mergeCell ref="D67:H68"/>
    <mergeCell ref="A56:B56"/>
    <mergeCell ref="E7:H8"/>
    <mergeCell ref="A3:L4"/>
    <mergeCell ref="C13:C14"/>
    <mergeCell ref="D19:D20"/>
    <mergeCell ref="A5:L6"/>
    <mergeCell ref="C15:C16"/>
    <mergeCell ref="A44:B44"/>
    <mergeCell ref="A29:C30"/>
    <mergeCell ref="A58:B58"/>
    <mergeCell ref="A15:B16"/>
    <mergeCell ref="D27:F30"/>
    <mergeCell ref="E15:F16"/>
    <mergeCell ref="D17:D18"/>
    <mergeCell ref="D11:D12"/>
    <mergeCell ref="J15:L16"/>
    <mergeCell ref="A11:B12"/>
    <mergeCell ref="E19:F20"/>
    <mergeCell ref="D23:D24"/>
    <mergeCell ref="G19:H20"/>
    <mergeCell ref="E9:F10"/>
    <mergeCell ref="G9:I10"/>
    <mergeCell ref="E11:F12"/>
    <mergeCell ref="G11:I12"/>
    <mergeCell ref="C9:C10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A1:L70"/>
  <sheetViews>
    <sheetView topLeftCell="A2" zoomScale="55" zoomScaleNormal="55" workbookViewId="0">
      <selection activeCell="J36" sqref="J36"/>
    </sheetView>
  </sheetViews>
  <sheetFormatPr defaultRowHeight="13.9" x14ac:dyDescent="0.4"/>
  <cols>
    <col min="1" max="3" width="9.0625" style="3" bestFit="1" customWidth="1"/>
    <col min="4" max="4" width="11.0625" style="3" bestFit="1" customWidth="1"/>
    <col min="5" max="12" width="9.0625" style="3" bestFit="1" customWidth="1"/>
    <col min="13" max="16384" width="9" style="3"/>
  </cols>
  <sheetData>
    <row r="1" spans="1:12" x14ac:dyDescent="0.4">
      <c r="A1" s="31">
        <v>1</v>
      </c>
      <c r="B1" s="31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241" t="s">
        <v>193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194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/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/>
      <c r="D11" s="214">
        <v>0</v>
      </c>
      <c r="E11" s="214">
        <f>D11*C11</f>
        <v>0</v>
      </c>
      <c r="F11" s="146"/>
      <c r="G11" s="214" t="s">
        <v>10</v>
      </c>
      <c r="H11" s="151"/>
      <c r="I11" s="146"/>
      <c r="J11" s="223">
        <f>C25-C13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v>0</v>
      </c>
      <c r="D13" s="214">
        <v>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13000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0</v>
      </c>
      <c r="E19" s="214">
        <f>D19*C19</f>
        <v>0</v>
      </c>
      <c r="F19" s="146"/>
      <c r="G19" s="214" t="s">
        <v>150</v>
      </c>
      <c r="H19" s="146"/>
      <c r="I19" s="223">
        <v>0</v>
      </c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6000</v>
      </c>
      <c r="E21" s="214">
        <f>D21*C21</f>
        <v>0</v>
      </c>
      <c r="F21" s="146"/>
      <c r="G21" s="214" t="s">
        <v>18</v>
      </c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D64</f>
        <v>0</v>
      </c>
      <c r="D25" s="229">
        <v>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I17+I19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6" t="s">
        <v>9</v>
      </c>
      <c r="D32" s="7" t="s">
        <v>219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42"/>
      <c r="K33" s="42"/>
      <c r="L33" s="53">
        <f t="shared" ref="L33:L63" si="0">I33*6000+E33*13000</f>
        <v>0</v>
      </c>
    </row>
    <row r="34" spans="1:12" x14ac:dyDescent="0.4">
      <c r="A34" s="215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42"/>
      <c r="K47" s="42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42"/>
      <c r="K48" s="42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42"/>
      <c r="K49" s="42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42"/>
      <c r="K50" s="42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42"/>
      <c r="K51" s="42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42"/>
      <c r="K52" s="42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42"/>
      <c r="K53" s="42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42"/>
      <c r="K54" s="42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74">
        <f t="shared" ref="C64:I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89"/>
      <c r="K64" s="89"/>
      <c r="L64" s="98">
        <f>SUM(L33:L63)</f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/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I7:L8"/>
    <mergeCell ref="A54:B54"/>
    <mergeCell ref="A41:B41"/>
    <mergeCell ref="D13:D14"/>
    <mergeCell ref="A46:B46"/>
    <mergeCell ref="A37:B37"/>
    <mergeCell ref="G13:I14"/>
    <mergeCell ref="D9:D10"/>
    <mergeCell ref="C17:C18"/>
    <mergeCell ref="D25:D26"/>
    <mergeCell ref="A31:L31"/>
    <mergeCell ref="A27:C28"/>
    <mergeCell ref="I23:L24"/>
    <mergeCell ref="E17:F18"/>
    <mergeCell ref="C19:C20"/>
    <mergeCell ref="G17:H18"/>
    <mergeCell ref="A52:B52"/>
    <mergeCell ref="A7:D8"/>
    <mergeCell ref="C21:C22"/>
    <mergeCell ref="J9:L10"/>
    <mergeCell ref="D15:D16"/>
    <mergeCell ref="J11:L12"/>
    <mergeCell ref="A33:B33"/>
    <mergeCell ref="A42:B42"/>
    <mergeCell ref="I19:L20"/>
    <mergeCell ref="A35:B35"/>
    <mergeCell ref="A61:B61"/>
    <mergeCell ref="A13:B14"/>
    <mergeCell ref="G27:L30"/>
    <mergeCell ref="I21:L22"/>
    <mergeCell ref="C25:C26"/>
    <mergeCell ref="A19:B20"/>
    <mergeCell ref="J13:L14"/>
    <mergeCell ref="G23:H24"/>
    <mergeCell ref="A21:B22"/>
    <mergeCell ref="D69:H70"/>
    <mergeCell ref="A53:B53"/>
    <mergeCell ref="A62:B62"/>
    <mergeCell ref="A39:B39"/>
    <mergeCell ref="A48:B48"/>
    <mergeCell ref="G25:L26"/>
    <mergeCell ref="A59:B59"/>
    <mergeCell ref="A45:B45"/>
    <mergeCell ref="A32:B32"/>
    <mergeCell ref="A50:B50"/>
    <mergeCell ref="A47:B47"/>
    <mergeCell ref="A34:B34"/>
    <mergeCell ref="A49:B49"/>
    <mergeCell ref="A36:B36"/>
    <mergeCell ref="A64:B64"/>
    <mergeCell ref="A63:B63"/>
    <mergeCell ref="I69:L70"/>
    <mergeCell ref="A67:C68"/>
    <mergeCell ref="A69:C70"/>
    <mergeCell ref="A9:B10"/>
    <mergeCell ref="E25:F26"/>
    <mergeCell ref="A55:B55"/>
    <mergeCell ref="I67:L68"/>
    <mergeCell ref="E21:F22"/>
    <mergeCell ref="C23:C24"/>
    <mergeCell ref="G21:H22"/>
    <mergeCell ref="A57:B57"/>
    <mergeCell ref="A65:L66"/>
    <mergeCell ref="E13:F14"/>
    <mergeCell ref="G15:I16"/>
    <mergeCell ref="A38:B38"/>
    <mergeCell ref="A43:B43"/>
    <mergeCell ref="E23:F24"/>
    <mergeCell ref="A40:B40"/>
    <mergeCell ref="A60:B60"/>
    <mergeCell ref="A23:B26"/>
    <mergeCell ref="A17:B18"/>
    <mergeCell ref="C11:C12"/>
    <mergeCell ref="I17:L18"/>
    <mergeCell ref="A51:B51"/>
    <mergeCell ref="D21:D22"/>
    <mergeCell ref="D67:H68"/>
    <mergeCell ref="A56:B56"/>
    <mergeCell ref="E7:H8"/>
    <mergeCell ref="A3:L4"/>
    <mergeCell ref="C13:C14"/>
    <mergeCell ref="D19:D20"/>
    <mergeCell ref="A5:L6"/>
    <mergeCell ref="C15:C16"/>
    <mergeCell ref="A44:B44"/>
    <mergeCell ref="A29:C30"/>
    <mergeCell ref="A58:B58"/>
    <mergeCell ref="A15:B16"/>
    <mergeCell ref="D27:F30"/>
    <mergeCell ref="E15:F16"/>
    <mergeCell ref="D17:D18"/>
    <mergeCell ref="D11:D12"/>
    <mergeCell ref="J15:L16"/>
    <mergeCell ref="A11:B12"/>
    <mergeCell ref="E19:F20"/>
    <mergeCell ref="D23:D24"/>
    <mergeCell ref="G19:H20"/>
    <mergeCell ref="E9:F10"/>
    <mergeCell ref="G9:I10"/>
    <mergeCell ref="E11:F12"/>
    <mergeCell ref="G11:I12"/>
    <mergeCell ref="C9:C10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fitToPage="1"/>
  </sheetPr>
  <dimension ref="A1:L70"/>
  <sheetViews>
    <sheetView topLeftCell="A4" zoomScale="55" zoomScaleNormal="55" workbookViewId="0">
      <selection activeCell="L33" sqref="L33:L63"/>
    </sheetView>
  </sheetViews>
  <sheetFormatPr defaultRowHeight="13.9" x14ac:dyDescent="0.4"/>
  <cols>
    <col min="1" max="3" width="9.0625" style="3" bestFit="1" customWidth="1"/>
    <col min="4" max="4" width="9.75" style="3" bestFit="1" customWidth="1"/>
    <col min="5" max="12" width="9.0625" style="3" bestFit="1" customWidth="1"/>
    <col min="13" max="16384" width="9" style="3"/>
  </cols>
  <sheetData>
    <row r="1" spans="1:12" x14ac:dyDescent="0.4">
      <c r="A1" s="31">
        <v>1</v>
      </c>
      <c r="B1" s="31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235" t="s">
        <v>111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195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115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f>C64</f>
        <v>0</v>
      </c>
      <c r="D11" s="214">
        <v>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f>D64</f>
        <v>0</v>
      </c>
      <c r="D13" s="214">
        <v>11000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0</v>
      </c>
      <c r="E19" s="214">
        <f>D19*C19</f>
        <v>0</v>
      </c>
      <c r="F19" s="146"/>
      <c r="G19" s="214" t="s">
        <v>16</v>
      </c>
      <c r="H19" s="146"/>
      <c r="I19" s="223"/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0</v>
      </c>
      <c r="E21" s="214">
        <f>D21*C21</f>
        <v>0</v>
      </c>
      <c r="F21" s="146"/>
      <c r="G21" s="214" t="s">
        <v>18</v>
      </c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F64</f>
        <v>0</v>
      </c>
      <c r="D25" s="229">
        <v>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I17+I19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6" t="s">
        <v>9</v>
      </c>
      <c r="D32" s="7" t="s">
        <v>219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42"/>
      <c r="K33" s="42"/>
      <c r="L33" s="53">
        <f t="shared" ref="L33:L63" si="0">D33*13000</f>
        <v>0</v>
      </c>
    </row>
    <row r="34" spans="1:12" x14ac:dyDescent="0.4">
      <c r="A34" s="215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42"/>
      <c r="K47" s="42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42"/>
      <c r="K48" s="42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42"/>
      <c r="K49" s="42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42"/>
      <c r="K50" s="42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42"/>
      <c r="K51" s="42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42"/>
      <c r="K52" s="42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42"/>
      <c r="K53" s="42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42"/>
      <c r="K54" s="42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74">
        <f t="shared" ref="C64:I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89">
        <f t="shared" ref="J64:L64" si="2">SUM(J33:J63)</f>
        <v>0</v>
      </c>
      <c r="K64" s="89">
        <f t="shared" si="2"/>
        <v>0</v>
      </c>
      <c r="L64" s="98">
        <f t="shared" si="2"/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/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I7:L8"/>
    <mergeCell ref="A54:B54"/>
    <mergeCell ref="A41:B41"/>
    <mergeCell ref="D13:D14"/>
    <mergeCell ref="A46:B46"/>
    <mergeCell ref="A37:B37"/>
    <mergeCell ref="G13:I14"/>
    <mergeCell ref="D9:D10"/>
    <mergeCell ref="C17:C18"/>
    <mergeCell ref="D25:D26"/>
    <mergeCell ref="A31:L31"/>
    <mergeCell ref="A27:C28"/>
    <mergeCell ref="I23:L24"/>
    <mergeCell ref="E17:F18"/>
    <mergeCell ref="C19:C20"/>
    <mergeCell ref="G17:H18"/>
    <mergeCell ref="A52:B52"/>
    <mergeCell ref="A7:D8"/>
    <mergeCell ref="C21:C22"/>
    <mergeCell ref="J9:L10"/>
    <mergeCell ref="D15:D16"/>
    <mergeCell ref="J11:L12"/>
    <mergeCell ref="A33:B33"/>
    <mergeCell ref="A42:B42"/>
    <mergeCell ref="I19:L20"/>
    <mergeCell ref="A35:B35"/>
    <mergeCell ref="A61:B61"/>
    <mergeCell ref="A13:B14"/>
    <mergeCell ref="G27:L30"/>
    <mergeCell ref="I21:L22"/>
    <mergeCell ref="C25:C26"/>
    <mergeCell ref="A19:B20"/>
    <mergeCell ref="J13:L14"/>
    <mergeCell ref="G23:H24"/>
    <mergeCell ref="A21:B22"/>
    <mergeCell ref="D69:H70"/>
    <mergeCell ref="A53:B53"/>
    <mergeCell ref="A62:B62"/>
    <mergeCell ref="A39:B39"/>
    <mergeCell ref="A48:B48"/>
    <mergeCell ref="G25:L26"/>
    <mergeCell ref="A59:B59"/>
    <mergeCell ref="A45:B45"/>
    <mergeCell ref="A32:B32"/>
    <mergeCell ref="A50:B50"/>
    <mergeCell ref="A47:B47"/>
    <mergeCell ref="A34:B34"/>
    <mergeCell ref="A49:B49"/>
    <mergeCell ref="A36:B36"/>
    <mergeCell ref="A64:B64"/>
    <mergeCell ref="A63:B63"/>
    <mergeCell ref="I69:L70"/>
    <mergeCell ref="A67:C68"/>
    <mergeCell ref="A69:C70"/>
    <mergeCell ref="A9:B10"/>
    <mergeCell ref="E25:F26"/>
    <mergeCell ref="A55:B55"/>
    <mergeCell ref="I67:L68"/>
    <mergeCell ref="E21:F22"/>
    <mergeCell ref="C23:C24"/>
    <mergeCell ref="G21:H22"/>
    <mergeCell ref="A57:B57"/>
    <mergeCell ref="A65:L66"/>
    <mergeCell ref="E13:F14"/>
    <mergeCell ref="G15:I16"/>
    <mergeCell ref="A38:B38"/>
    <mergeCell ref="A43:B43"/>
    <mergeCell ref="E23:F24"/>
    <mergeCell ref="A40:B40"/>
    <mergeCell ref="A60:B60"/>
    <mergeCell ref="A23:B26"/>
    <mergeCell ref="A17:B18"/>
    <mergeCell ref="C11:C12"/>
    <mergeCell ref="I17:L18"/>
    <mergeCell ref="A51:B51"/>
    <mergeCell ref="D21:D22"/>
    <mergeCell ref="D67:H68"/>
    <mergeCell ref="A56:B56"/>
    <mergeCell ref="E7:H8"/>
    <mergeCell ref="A3:L4"/>
    <mergeCell ref="C13:C14"/>
    <mergeCell ref="D19:D20"/>
    <mergeCell ref="A5:L6"/>
    <mergeCell ref="C15:C16"/>
    <mergeCell ref="A44:B44"/>
    <mergeCell ref="A29:C30"/>
    <mergeCell ref="A58:B58"/>
    <mergeCell ref="A15:B16"/>
    <mergeCell ref="D27:F30"/>
    <mergeCell ref="E15:F16"/>
    <mergeCell ref="D17:D18"/>
    <mergeCell ref="D11:D12"/>
    <mergeCell ref="J15:L16"/>
    <mergeCell ref="A11:B12"/>
    <mergeCell ref="E19:F20"/>
    <mergeCell ref="D23:D24"/>
    <mergeCell ref="G19:H20"/>
    <mergeCell ref="E9:F10"/>
    <mergeCell ref="G9:I10"/>
    <mergeCell ref="E11:F12"/>
    <mergeCell ref="G11:I12"/>
    <mergeCell ref="C9:C10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fitToPage="1"/>
  </sheetPr>
  <dimension ref="A1:L70"/>
  <sheetViews>
    <sheetView topLeftCell="A3" zoomScale="55" zoomScaleNormal="55" workbookViewId="0">
      <selection activeCell="L33" sqref="L33:L63"/>
    </sheetView>
  </sheetViews>
  <sheetFormatPr defaultRowHeight="13.9" x14ac:dyDescent="0.4"/>
  <cols>
    <col min="1" max="3" width="9.0625" style="3" bestFit="1" customWidth="1"/>
    <col min="4" max="4" width="9.75" style="3" bestFit="1" customWidth="1"/>
    <col min="5" max="12" width="9.0625" style="3" bestFit="1" customWidth="1"/>
    <col min="13" max="16384" width="9" style="3"/>
  </cols>
  <sheetData>
    <row r="1" spans="1:12" x14ac:dyDescent="0.4">
      <c r="A1" s="31">
        <v>1</v>
      </c>
      <c r="B1" s="31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235" t="s">
        <v>111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196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115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f>C64</f>
        <v>0</v>
      </c>
      <c r="D11" s="214">
        <v>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f>D64</f>
        <v>0</v>
      </c>
      <c r="D13" s="214">
        <v>11000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0</v>
      </c>
      <c r="E19" s="214">
        <f>D19*C19</f>
        <v>0</v>
      </c>
      <c r="F19" s="146"/>
      <c r="G19" s="214" t="s">
        <v>16</v>
      </c>
      <c r="H19" s="146"/>
      <c r="I19" s="223"/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0</v>
      </c>
      <c r="E21" s="214">
        <f>D21*C21</f>
        <v>0</v>
      </c>
      <c r="F21" s="146"/>
      <c r="G21" s="214" t="s">
        <v>18</v>
      </c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F64</f>
        <v>0</v>
      </c>
      <c r="D25" s="229">
        <v>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I17+I19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6" t="s">
        <v>9</v>
      </c>
      <c r="D32" s="7" t="s">
        <v>219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42"/>
      <c r="K33" s="42"/>
      <c r="L33" s="53">
        <f t="shared" ref="L33:L63" si="0">D33*13000</f>
        <v>0</v>
      </c>
    </row>
    <row r="34" spans="1:12" x14ac:dyDescent="0.4">
      <c r="A34" s="215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42"/>
      <c r="K47" s="42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42"/>
      <c r="K48" s="42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42"/>
      <c r="K49" s="42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42"/>
      <c r="K50" s="42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42"/>
      <c r="K51" s="42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42"/>
      <c r="K52" s="42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42"/>
      <c r="K53" s="42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42"/>
      <c r="K54" s="42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74">
        <f t="shared" ref="C64:I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89">
        <f t="shared" ref="J64:L64" si="2">SUM(J33:J63)</f>
        <v>0</v>
      </c>
      <c r="K64" s="89">
        <f t="shared" si="2"/>
        <v>0</v>
      </c>
      <c r="L64" s="98">
        <f t="shared" si="2"/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/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I7:L8"/>
    <mergeCell ref="A54:B54"/>
    <mergeCell ref="A41:B41"/>
    <mergeCell ref="D13:D14"/>
    <mergeCell ref="A46:B46"/>
    <mergeCell ref="A37:B37"/>
    <mergeCell ref="G13:I14"/>
    <mergeCell ref="D9:D10"/>
    <mergeCell ref="C17:C18"/>
    <mergeCell ref="D25:D26"/>
    <mergeCell ref="A31:L31"/>
    <mergeCell ref="A27:C28"/>
    <mergeCell ref="I23:L24"/>
    <mergeCell ref="E17:F18"/>
    <mergeCell ref="C19:C20"/>
    <mergeCell ref="G17:H18"/>
    <mergeCell ref="A52:B52"/>
    <mergeCell ref="A7:D8"/>
    <mergeCell ref="C21:C22"/>
    <mergeCell ref="J9:L10"/>
    <mergeCell ref="D15:D16"/>
    <mergeCell ref="J11:L12"/>
    <mergeCell ref="A33:B33"/>
    <mergeCell ref="A42:B42"/>
    <mergeCell ref="I19:L20"/>
    <mergeCell ref="A35:B35"/>
    <mergeCell ref="A61:B61"/>
    <mergeCell ref="A13:B14"/>
    <mergeCell ref="G27:L30"/>
    <mergeCell ref="I21:L22"/>
    <mergeCell ref="C25:C26"/>
    <mergeCell ref="A19:B20"/>
    <mergeCell ref="J13:L14"/>
    <mergeCell ref="G23:H24"/>
    <mergeCell ref="A21:B22"/>
    <mergeCell ref="D69:H70"/>
    <mergeCell ref="A53:B53"/>
    <mergeCell ref="A62:B62"/>
    <mergeCell ref="A39:B39"/>
    <mergeCell ref="A48:B48"/>
    <mergeCell ref="G25:L26"/>
    <mergeCell ref="A59:B59"/>
    <mergeCell ref="A45:B45"/>
    <mergeCell ref="A32:B32"/>
    <mergeCell ref="A50:B50"/>
    <mergeCell ref="A47:B47"/>
    <mergeCell ref="A34:B34"/>
    <mergeCell ref="A49:B49"/>
    <mergeCell ref="A36:B36"/>
    <mergeCell ref="A64:B64"/>
    <mergeCell ref="A63:B63"/>
    <mergeCell ref="I69:L70"/>
    <mergeCell ref="A67:C68"/>
    <mergeCell ref="A69:C70"/>
    <mergeCell ref="A9:B10"/>
    <mergeCell ref="E25:F26"/>
    <mergeCell ref="A55:B55"/>
    <mergeCell ref="I67:L68"/>
    <mergeCell ref="E21:F22"/>
    <mergeCell ref="C23:C24"/>
    <mergeCell ref="G21:H22"/>
    <mergeCell ref="A57:B57"/>
    <mergeCell ref="A65:L66"/>
    <mergeCell ref="E13:F14"/>
    <mergeCell ref="G15:I16"/>
    <mergeCell ref="A38:B38"/>
    <mergeCell ref="A43:B43"/>
    <mergeCell ref="E23:F24"/>
    <mergeCell ref="A40:B40"/>
    <mergeCell ref="A60:B60"/>
    <mergeCell ref="A23:B26"/>
    <mergeCell ref="A17:B18"/>
    <mergeCell ref="C11:C12"/>
    <mergeCell ref="I17:L18"/>
    <mergeCell ref="A51:B51"/>
    <mergeCell ref="D21:D22"/>
    <mergeCell ref="D67:H68"/>
    <mergeCell ref="A56:B56"/>
    <mergeCell ref="E7:H8"/>
    <mergeCell ref="A3:L4"/>
    <mergeCell ref="C13:C14"/>
    <mergeCell ref="D19:D20"/>
    <mergeCell ref="A5:L6"/>
    <mergeCell ref="C15:C16"/>
    <mergeCell ref="A44:B44"/>
    <mergeCell ref="A29:C30"/>
    <mergeCell ref="A58:B58"/>
    <mergeCell ref="A15:B16"/>
    <mergeCell ref="D27:F30"/>
    <mergeCell ref="E15:F16"/>
    <mergeCell ref="D17:D18"/>
    <mergeCell ref="D11:D12"/>
    <mergeCell ref="J15:L16"/>
    <mergeCell ref="A11:B12"/>
    <mergeCell ref="E19:F20"/>
    <mergeCell ref="D23:D24"/>
    <mergeCell ref="G19:H20"/>
    <mergeCell ref="E9:F10"/>
    <mergeCell ref="G9:I10"/>
    <mergeCell ref="E11:F12"/>
    <mergeCell ref="G11:I12"/>
    <mergeCell ref="C9:C10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pageSetUpPr fitToPage="1"/>
  </sheetPr>
  <dimension ref="A1:L70"/>
  <sheetViews>
    <sheetView zoomScale="55" zoomScaleNormal="55" workbookViewId="0">
      <selection activeCell="L35" sqref="L35"/>
    </sheetView>
  </sheetViews>
  <sheetFormatPr defaultRowHeight="13.9" x14ac:dyDescent="0.4"/>
  <cols>
    <col min="1" max="3" width="9.0625" style="3" bestFit="1" customWidth="1"/>
    <col min="4" max="4" width="10.3125" style="3" bestFit="1" customWidth="1"/>
    <col min="5" max="12" width="9.0625" style="3" bestFit="1" customWidth="1"/>
    <col min="13" max="16384" width="9" style="3"/>
  </cols>
  <sheetData>
    <row r="1" spans="1:12" x14ac:dyDescent="0.4">
      <c r="A1" s="31">
        <v>1</v>
      </c>
      <c r="B1" s="31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235" t="s">
        <v>111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197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24.7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115</v>
      </c>
      <c r="J7" s="193"/>
      <c r="K7" s="193"/>
      <c r="L7" s="194"/>
    </row>
    <row r="8" spans="1:12" ht="24.7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f>C64</f>
        <v>0</v>
      </c>
      <c r="D11" s="214">
        <v>10000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f>D64</f>
        <v>0</v>
      </c>
      <c r="D13" s="214">
        <v>10000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11000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0</v>
      </c>
      <c r="E19" s="214">
        <f>D19*C19</f>
        <v>0</v>
      </c>
      <c r="F19" s="146"/>
      <c r="G19" s="214" t="s">
        <v>16</v>
      </c>
      <c r="H19" s="146"/>
      <c r="I19" s="223"/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0</v>
      </c>
      <c r="E21" s="214">
        <f>D21*C21</f>
        <v>0</v>
      </c>
      <c r="F21" s="146"/>
      <c r="G21" s="214" t="s">
        <v>18</v>
      </c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F64</f>
        <v>0</v>
      </c>
      <c r="D25" s="229">
        <v>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I17+I19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6" t="s">
        <v>9</v>
      </c>
      <c r="D32" s="7" t="s">
        <v>219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4"/>
      <c r="K32" s="4"/>
      <c r="L32" s="2" t="s">
        <v>26</v>
      </c>
    </row>
    <row r="33" spans="1:12" x14ac:dyDescent="0.4">
      <c r="A33" s="215" t="e">
        <f>#REF!</f>
        <v>#REF!</v>
      </c>
      <c r="B33" s="137"/>
      <c r="C33" s="6"/>
      <c r="D33" s="15"/>
      <c r="E33" s="16"/>
      <c r="F33" s="17"/>
      <c r="G33" s="18"/>
      <c r="H33" s="19"/>
      <c r="I33" s="20"/>
      <c r="J33" s="42"/>
      <c r="K33" s="42"/>
      <c r="L33" s="53">
        <f t="shared" ref="L33:L63" si="0">E33*13000</f>
        <v>0</v>
      </c>
    </row>
    <row r="34" spans="1:12" x14ac:dyDescent="0.4">
      <c r="A34" s="215" t="e">
        <f>#REF!</f>
        <v>#REF!</v>
      </c>
      <c r="B34" s="137"/>
      <c r="C34" s="6"/>
      <c r="D34" s="15"/>
      <c r="E34" s="16"/>
      <c r="F34" s="17"/>
      <c r="G34" s="18"/>
      <c r="H34" s="19"/>
      <c r="I34" s="20"/>
      <c r="J34" s="42"/>
      <c r="K34" s="42"/>
      <c r="L34" s="53">
        <f t="shared" si="0"/>
        <v>0</v>
      </c>
    </row>
    <row r="35" spans="1:12" x14ac:dyDescent="0.4">
      <c r="A35" s="215" t="e">
        <f>#REF!</f>
        <v>#REF!</v>
      </c>
      <c r="B35" s="137"/>
      <c r="C35" s="6"/>
      <c r="D35" s="15"/>
      <c r="E35" s="16"/>
      <c r="F35" s="17"/>
      <c r="G35" s="18"/>
      <c r="H35" s="19"/>
      <c r="I35" s="20"/>
      <c r="J35" s="42"/>
      <c r="K35" s="42"/>
      <c r="L35" s="53">
        <f t="shared" si="0"/>
        <v>0</v>
      </c>
    </row>
    <row r="36" spans="1:12" x14ac:dyDescent="0.4">
      <c r="A36" s="215" t="e">
        <f>#REF!</f>
        <v>#REF!</v>
      </c>
      <c r="B36" s="137"/>
      <c r="C36" s="6"/>
      <c r="D36" s="15"/>
      <c r="E36" s="16"/>
      <c r="F36" s="17"/>
      <c r="G36" s="18"/>
      <c r="H36" s="19"/>
      <c r="I36" s="20"/>
      <c r="J36" s="42"/>
      <c r="K36" s="42"/>
      <c r="L36" s="53">
        <f t="shared" si="0"/>
        <v>0</v>
      </c>
    </row>
    <row r="37" spans="1:12" x14ac:dyDescent="0.4">
      <c r="A37" s="215" t="e">
        <f>#REF!</f>
        <v>#REF!</v>
      </c>
      <c r="B37" s="137"/>
      <c r="C37" s="6"/>
      <c r="D37" s="15"/>
      <c r="E37" s="16"/>
      <c r="F37" s="17"/>
      <c r="G37" s="18"/>
      <c r="H37" s="19"/>
      <c r="I37" s="20"/>
      <c r="J37" s="42"/>
      <c r="K37" s="42"/>
      <c r="L37" s="53">
        <f t="shared" si="0"/>
        <v>0</v>
      </c>
    </row>
    <row r="38" spans="1:12" x14ac:dyDescent="0.4">
      <c r="A38" s="215" t="e">
        <f>#REF!</f>
        <v>#REF!</v>
      </c>
      <c r="B38" s="137"/>
      <c r="C38" s="6"/>
      <c r="D38" s="15"/>
      <c r="E38" s="16"/>
      <c r="F38" s="17"/>
      <c r="G38" s="18"/>
      <c r="H38" s="19"/>
      <c r="I38" s="20"/>
      <c r="J38" s="42"/>
      <c r="K38" s="42"/>
      <c r="L38" s="53">
        <f t="shared" si="0"/>
        <v>0</v>
      </c>
    </row>
    <row r="39" spans="1:12" x14ac:dyDescent="0.4">
      <c r="A39" s="215" t="e">
        <f>#REF!</f>
        <v>#REF!</v>
      </c>
      <c r="B39" s="137"/>
      <c r="C39" s="6"/>
      <c r="D39" s="15"/>
      <c r="E39" s="16"/>
      <c r="F39" s="17"/>
      <c r="G39" s="18"/>
      <c r="H39" s="19"/>
      <c r="I39" s="20"/>
      <c r="J39" s="42"/>
      <c r="K39" s="42"/>
      <c r="L39" s="53">
        <f t="shared" si="0"/>
        <v>0</v>
      </c>
    </row>
    <row r="40" spans="1:12" x14ac:dyDescent="0.4">
      <c r="A40" s="215" t="e">
        <f>#REF!</f>
        <v>#REF!</v>
      </c>
      <c r="B40" s="137"/>
      <c r="C40" s="6"/>
      <c r="D40" s="15"/>
      <c r="E40" s="16"/>
      <c r="F40" s="17"/>
      <c r="G40" s="18"/>
      <c r="H40" s="19"/>
      <c r="I40" s="20"/>
      <c r="J40" s="42"/>
      <c r="K40" s="42"/>
      <c r="L40" s="53">
        <f t="shared" si="0"/>
        <v>0</v>
      </c>
    </row>
    <row r="41" spans="1:12" x14ac:dyDescent="0.4">
      <c r="A41" s="215" t="e">
        <f>#REF!</f>
        <v>#REF!</v>
      </c>
      <c r="B41" s="137"/>
      <c r="C41" s="6"/>
      <c r="D41" s="15"/>
      <c r="E41" s="16"/>
      <c r="F41" s="17"/>
      <c r="G41" s="18"/>
      <c r="H41" s="19"/>
      <c r="I41" s="20"/>
      <c r="J41" s="42"/>
      <c r="K41" s="42"/>
      <c r="L41" s="53">
        <f t="shared" si="0"/>
        <v>0</v>
      </c>
    </row>
    <row r="42" spans="1:12" x14ac:dyDescent="0.4">
      <c r="A42" s="215" t="e">
        <f>#REF!</f>
        <v>#REF!</v>
      </c>
      <c r="B42" s="137"/>
      <c r="C42" s="6"/>
      <c r="D42" s="15"/>
      <c r="E42" s="16"/>
      <c r="F42" s="17"/>
      <c r="G42" s="18"/>
      <c r="H42" s="19"/>
      <c r="I42" s="20"/>
      <c r="J42" s="42"/>
      <c r="K42" s="42"/>
      <c r="L42" s="53">
        <f t="shared" si="0"/>
        <v>0</v>
      </c>
    </row>
    <row r="43" spans="1:12" x14ac:dyDescent="0.4">
      <c r="A43" s="215" t="e">
        <f>#REF!</f>
        <v>#REF!</v>
      </c>
      <c r="B43" s="137"/>
      <c r="C43" s="6"/>
      <c r="D43" s="15"/>
      <c r="E43" s="16"/>
      <c r="F43" s="17"/>
      <c r="G43" s="18"/>
      <c r="H43" s="19"/>
      <c r="I43" s="20"/>
      <c r="J43" s="42"/>
      <c r="K43" s="42"/>
      <c r="L43" s="53">
        <f t="shared" si="0"/>
        <v>0</v>
      </c>
    </row>
    <row r="44" spans="1:12" x14ac:dyDescent="0.4">
      <c r="A44" s="215" t="e">
        <f>#REF!</f>
        <v>#REF!</v>
      </c>
      <c r="B44" s="137"/>
      <c r="C44" s="6"/>
      <c r="D44" s="15"/>
      <c r="E44" s="16"/>
      <c r="F44" s="17"/>
      <c r="G44" s="18"/>
      <c r="H44" s="19"/>
      <c r="I44" s="20"/>
      <c r="J44" s="42"/>
      <c r="K44" s="42"/>
      <c r="L44" s="53">
        <f t="shared" si="0"/>
        <v>0</v>
      </c>
    </row>
    <row r="45" spans="1:12" x14ac:dyDescent="0.4">
      <c r="A45" s="215" t="e">
        <f>#REF!</f>
        <v>#REF!</v>
      </c>
      <c r="B45" s="137"/>
      <c r="C45" s="6"/>
      <c r="D45" s="15"/>
      <c r="E45" s="16"/>
      <c r="F45" s="17"/>
      <c r="G45" s="18"/>
      <c r="H45" s="19"/>
      <c r="I45" s="20"/>
      <c r="J45" s="42"/>
      <c r="K45" s="42"/>
      <c r="L45" s="53">
        <f t="shared" si="0"/>
        <v>0</v>
      </c>
    </row>
    <row r="46" spans="1:12" x14ac:dyDescent="0.4">
      <c r="A46" s="215" t="e">
        <f>#REF!</f>
        <v>#REF!</v>
      </c>
      <c r="B46" s="137"/>
      <c r="C46" s="6"/>
      <c r="D46" s="15"/>
      <c r="E46" s="16"/>
      <c r="F46" s="17"/>
      <c r="G46" s="18"/>
      <c r="H46" s="19"/>
      <c r="I46" s="20"/>
      <c r="J46" s="42"/>
      <c r="K46" s="42"/>
      <c r="L46" s="53">
        <f t="shared" si="0"/>
        <v>0</v>
      </c>
    </row>
    <row r="47" spans="1:12" x14ac:dyDescent="0.4">
      <c r="A47" s="215" t="e">
        <f>#REF!</f>
        <v>#REF!</v>
      </c>
      <c r="B47" s="137"/>
      <c r="C47" s="6"/>
      <c r="D47" s="15"/>
      <c r="E47" s="16"/>
      <c r="F47" s="17"/>
      <c r="G47" s="18"/>
      <c r="H47" s="19"/>
      <c r="I47" s="20"/>
      <c r="J47" s="42"/>
      <c r="K47" s="42"/>
      <c r="L47" s="53">
        <f t="shared" si="0"/>
        <v>0</v>
      </c>
    </row>
    <row r="48" spans="1:12" x14ac:dyDescent="0.4">
      <c r="A48" s="215" t="e">
        <f>#REF!</f>
        <v>#REF!</v>
      </c>
      <c r="B48" s="137"/>
      <c r="C48" s="6"/>
      <c r="D48" s="15"/>
      <c r="E48" s="16"/>
      <c r="F48" s="17"/>
      <c r="G48" s="18"/>
      <c r="H48" s="19"/>
      <c r="I48" s="20"/>
      <c r="J48" s="42"/>
      <c r="K48" s="42"/>
      <c r="L48" s="53">
        <f t="shared" si="0"/>
        <v>0</v>
      </c>
    </row>
    <row r="49" spans="1:12" x14ac:dyDescent="0.4">
      <c r="A49" s="215" t="e">
        <f>#REF!</f>
        <v>#REF!</v>
      </c>
      <c r="B49" s="137"/>
      <c r="C49" s="6"/>
      <c r="D49" s="15"/>
      <c r="E49" s="16"/>
      <c r="F49" s="17"/>
      <c r="G49" s="18"/>
      <c r="H49" s="19"/>
      <c r="I49" s="20"/>
      <c r="J49" s="42"/>
      <c r="K49" s="42"/>
      <c r="L49" s="53">
        <f t="shared" si="0"/>
        <v>0</v>
      </c>
    </row>
    <row r="50" spans="1:12" x14ac:dyDescent="0.4">
      <c r="A50" s="215" t="e">
        <f>#REF!</f>
        <v>#REF!</v>
      </c>
      <c r="B50" s="137"/>
      <c r="C50" s="6"/>
      <c r="D50" s="15"/>
      <c r="E50" s="16"/>
      <c r="F50" s="17"/>
      <c r="G50" s="18"/>
      <c r="H50" s="19"/>
      <c r="I50" s="20"/>
      <c r="J50" s="42"/>
      <c r="K50" s="42"/>
      <c r="L50" s="53">
        <f t="shared" si="0"/>
        <v>0</v>
      </c>
    </row>
    <row r="51" spans="1:12" x14ac:dyDescent="0.4">
      <c r="A51" s="215" t="e">
        <f>#REF!</f>
        <v>#REF!</v>
      </c>
      <c r="B51" s="137"/>
      <c r="C51" s="6"/>
      <c r="D51" s="15"/>
      <c r="E51" s="16"/>
      <c r="F51" s="17"/>
      <c r="G51" s="18"/>
      <c r="H51" s="19"/>
      <c r="I51" s="20"/>
      <c r="J51" s="42"/>
      <c r="K51" s="42"/>
      <c r="L51" s="53">
        <f t="shared" si="0"/>
        <v>0</v>
      </c>
    </row>
    <row r="52" spans="1:12" x14ac:dyDescent="0.4">
      <c r="A52" s="215" t="e">
        <f>#REF!</f>
        <v>#REF!</v>
      </c>
      <c r="B52" s="137"/>
      <c r="C52" s="6"/>
      <c r="D52" s="15"/>
      <c r="E52" s="16"/>
      <c r="F52" s="17"/>
      <c r="G52" s="18"/>
      <c r="H52" s="19"/>
      <c r="I52" s="20"/>
      <c r="J52" s="42"/>
      <c r="K52" s="42"/>
      <c r="L52" s="53">
        <f t="shared" si="0"/>
        <v>0</v>
      </c>
    </row>
    <row r="53" spans="1:12" x14ac:dyDescent="0.4">
      <c r="A53" s="215" t="e">
        <f>#REF!</f>
        <v>#REF!</v>
      </c>
      <c r="B53" s="137"/>
      <c r="C53" s="6"/>
      <c r="D53" s="15"/>
      <c r="E53" s="16"/>
      <c r="F53" s="17"/>
      <c r="G53" s="18"/>
      <c r="H53" s="19"/>
      <c r="I53" s="20"/>
      <c r="J53" s="42"/>
      <c r="K53" s="42"/>
      <c r="L53" s="53">
        <f t="shared" si="0"/>
        <v>0</v>
      </c>
    </row>
    <row r="54" spans="1:12" x14ac:dyDescent="0.4">
      <c r="A54" s="215" t="e">
        <f>#REF!</f>
        <v>#REF!</v>
      </c>
      <c r="B54" s="137"/>
      <c r="C54" s="6"/>
      <c r="D54" s="15"/>
      <c r="E54" s="16"/>
      <c r="F54" s="17"/>
      <c r="G54" s="18"/>
      <c r="H54" s="19"/>
      <c r="I54" s="20"/>
      <c r="J54" s="42"/>
      <c r="K54" s="42"/>
      <c r="L54" s="53">
        <f t="shared" si="0"/>
        <v>0</v>
      </c>
    </row>
    <row r="55" spans="1:12" x14ac:dyDescent="0.4">
      <c r="A55" s="215" t="e">
        <f>#REF!</f>
        <v>#REF!</v>
      </c>
      <c r="B55" s="137"/>
      <c r="C55" s="6"/>
      <c r="D55" s="15"/>
      <c r="E55" s="16"/>
      <c r="F55" s="17"/>
      <c r="G55" s="18"/>
      <c r="H55" s="19"/>
      <c r="I55" s="20"/>
      <c r="J55" s="42"/>
      <c r="K55" s="42"/>
      <c r="L55" s="53">
        <f t="shared" si="0"/>
        <v>0</v>
      </c>
    </row>
    <row r="56" spans="1:12" x14ac:dyDescent="0.4">
      <c r="A56" s="215" t="e">
        <f>#REF!</f>
        <v>#REF!</v>
      </c>
      <c r="B56" s="137"/>
      <c r="C56" s="6"/>
      <c r="D56" s="15"/>
      <c r="E56" s="16"/>
      <c r="F56" s="17"/>
      <c r="G56" s="18"/>
      <c r="H56" s="19"/>
      <c r="I56" s="20"/>
      <c r="J56" s="42"/>
      <c r="K56" s="42"/>
      <c r="L56" s="53">
        <f t="shared" si="0"/>
        <v>0</v>
      </c>
    </row>
    <row r="57" spans="1:12" x14ac:dyDescent="0.4">
      <c r="A57" s="215" t="e">
        <f>#REF!</f>
        <v>#REF!</v>
      </c>
      <c r="B57" s="137"/>
      <c r="C57" s="6"/>
      <c r="D57" s="15"/>
      <c r="E57" s="16"/>
      <c r="F57" s="17"/>
      <c r="G57" s="18"/>
      <c r="H57" s="19"/>
      <c r="I57" s="20"/>
      <c r="J57" s="42"/>
      <c r="K57" s="42"/>
      <c r="L57" s="53">
        <f t="shared" si="0"/>
        <v>0</v>
      </c>
    </row>
    <row r="58" spans="1:12" x14ac:dyDescent="0.4">
      <c r="A58" s="215" t="e">
        <f>#REF!</f>
        <v>#REF!</v>
      </c>
      <c r="B58" s="137"/>
      <c r="C58" s="6"/>
      <c r="D58" s="15"/>
      <c r="E58" s="16"/>
      <c r="F58" s="17"/>
      <c r="G58" s="18"/>
      <c r="H58" s="19"/>
      <c r="I58" s="20"/>
      <c r="J58" s="42"/>
      <c r="K58" s="42"/>
      <c r="L58" s="53">
        <f t="shared" si="0"/>
        <v>0</v>
      </c>
    </row>
    <row r="59" spans="1:12" x14ac:dyDescent="0.4">
      <c r="A59" s="215" t="e">
        <f>#REF!</f>
        <v>#REF!</v>
      </c>
      <c r="B59" s="137"/>
      <c r="C59" s="6"/>
      <c r="D59" s="15"/>
      <c r="E59" s="16"/>
      <c r="F59" s="17"/>
      <c r="G59" s="18"/>
      <c r="H59" s="19"/>
      <c r="I59" s="20"/>
      <c r="J59" s="42"/>
      <c r="K59" s="42"/>
      <c r="L59" s="53">
        <f t="shared" si="0"/>
        <v>0</v>
      </c>
    </row>
    <row r="60" spans="1:12" x14ac:dyDescent="0.4">
      <c r="A60" s="215" t="e">
        <f>#REF!</f>
        <v>#REF!</v>
      </c>
      <c r="B60" s="137"/>
      <c r="C60" s="6"/>
      <c r="D60" s="15"/>
      <c r="E60" s="16"/>
      <c r="F60" s="17"/>
      <c r="G60" s="18"/>
      <c r="H60" s="19"/>
      <c r="I60" s="20"/>
      <c r="J60" s="42"/>
      <c r="K60" s="42"/>
      <c r="L60" s="53">
        <f t="shared" si="0"/>
        <v>0</v>
      </c>
    </row>
    <row r="61" spans="1:12" x14ac:dyDescent="0.4">
      <c r="A61" s="215" t="e">
        <f>#REF!</f>
        <v>#REF!</v>
      </c>
      <c r="B61" s="137"/>
      <c r="C61" s="6"/>
      <c r="D61" s="15"/>
      <c r="E61" s="16"/>
      <c r="F61" s="17"/>
      <c r="G61" s="18"/>
      <c r="H61" s="19"/>
      <c r="I61" s="20"/>
      <c r="J61" s="42"/>
      <c r="K61" s="42"/>
      <c r="L61" s="53">
        <f t="shared" si="0"/>
        <v>0</v>
      </c>
    </row>
    <row r="62" spans="1:12" x14ac:dyDescent="0.4">
      <c r="A62" s="215" t="e">
        <f>#REF!</f>
        <v>#REF!</v>
      </c>
      <c r="B62" s="137"/>
      <c r="C62" s="6"/>
      <c r="D62" s="15"/>
      <c r="E62" s="16"/>
      <c r="F62" s="17"/>
      <c r="G62" s="18"/>
      <c r="H62" s="19"/>
      <c r="I62" s="20"/>
      <c r="J62" s="42"/>
      <c r="K62" s="42"/>
      <c r="L62" s="53">
        <f t="shared" si="0"/>
        <v>0</v>
      </c>
    </row>
    <row r="63" spans="1:12" x14ac:dyDescent="0.4">
      <c r="A63" s="215" t="e">
        <f>#REF!</f>
        <v>#REF!</v>
      </c>
      <c r="B63" s="137"/>
      <c r="C63" s="6"/>
      <c r="D63" s="15"/>
      <c r="E63" s="16"/>
      <c r="F63" s="17"/>
      <c r="G63" s="18"/>
      <c r="H63" s="19"/>
      <c r="I63" s="20"/>
      <c r="J63" s="42"/>
      <c r="K63" s="42"/>
      <c r="L63" s="53">
        <f t="shared" si="0"/>
        <v>0</v>
      </c>
    </row>
    <row r="64" spans="1:12" x14ac:dyDescent="0.4">
      <c r="A64" s="234" t="s">
        <v>26</v>
      </c>
      <c r="B64" s="115"/>
      <c r="C64" s="74">
        <f t="shared" ref="C64:I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89">
        <f t="shared" ref="J64:L64" si="2">SUM(J33:J63)</f>
        <v>0</v>
      </c>
      <c r="K64" s="89">
        <f t="shared" si="2"/>
        <v>0</v>
      </c>
      <c r="L64" s="98">
        <f t="shared" si="2"/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/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2">
    <mergeCell ref="I7:L8"/>
    <mergeCell ref="A54:B54"/>
    <mergeCell ref="A41:B41"/>
    <mergeCell ref="D13:D14"/>
    <mergeCell ref="A46:B46"/>
    <mergeCell ref="A37:B37"/>
    <mergeCell ref="G13:I14"/>
    <mergeCell ref="D9:D10"/>
    <mergeCell ref="C17:C18"/>
    <mergeCell ref="D25:D26"/>
    <mergeCell ref="A31:L31"/>
    <mergeCell ref="A27:C28"/>
    <mergeCell ref="I23:L24"/>
    <mergeCell ref="E17:F18"/>
    <mergeCell ref="C19:C20"/>
    <mergeCell ref="G17:H18"/>
    <mergeCell ref="A52:B52"/>
    <mergeCell ref="A7:D8"/>
    <mergeCell ref="C21:C22"/>
    <mergeCell ref="J9:L10"/>
    <mergeCell ref="D15:D16"/>
    <mergeCell ref="J11:L12"/>
    <mergeCell ref="A33:B33"/>
    <mergeCell ref="A42:B42"/>
    <mergeCell ref="I19:L20"/>
    <mergeCell ref="A35:B35"/>
    <mergeCell ref="A61:B61"/>
    <mergeCell ref="A13:B14"/>
    <mergeCell ref="G27:L30"/>
    <mergeCell ref="I21:L22"/>
    <mergeCell ref="C25:C26"/>
    <mergeCell ref="A19:B20"/>
    <mergeCell ref="J13:L14"/>
    <mergeCell ref="G23:H24"/>
    <mergeCell ref="A21:B22"/>
    <mergeCell ref="D69:H70"/>
    <mergeCell ref="A53:B53"/>
    <mergeCell ref="A62:B62"/>
    <mergeCell ref="A39:B39"/>
    <mergeCell ref="A48:B48"/>
    <mergeCell ref="G25:L26"/>
    <mergeCell ref="A59:B59"/>
    <mergeCell ref="A45:B45"/>
    <mergeCell ref="A32:B32"/>
    <mergeCell ref="A50:B50"/>
    <mergeCell ref="A47:B47"/>
    <mergeCell ref="A34:B34"/>
    <mergeCell ref="A49:B49"/>
    <mergeCell ref="A36:B36"/>
    <mergeCell ref="A64:B64"/>
    <mergeCell ref="A63:B63"/>
    <mergeCell ref="I69:L70"/>
    <mergeCell ref="A67:C68"/>
    <mergeCell ref="A69:C70"/>
    <mergeCell ref="A9:B10"/>
    <mergeCell ref="E25:F26"/>
    <mergeCell ref="A55:B55"/>
    <mergeCell ref="I67:L68"/>
    <mergeCell ref="E21:F22"/>
    <mergeCell ref="C23:C24"/>
    <mergeCell ref="G21:H22"/>
    <mergeCell ref="A57:B57"/>
    <mergeCell ref="A65:L66"/>
    <mergeCell ref="E13:F14"/>
    <mergeCell ref="G15:I16"/>
    <mergeCell ref="A38:B38"/>
    <mergeCell ref="A43:B43"/>
    <mergeCell ref="E23:F24"/>
    <mergeCell ref="A40:B40"/>
    <mergeCell ref="A60:B60"/>
    <mergeCell ref="A23:B26"/>
    <mergeCell ref="A17:B18"/>
    <mergeCell ref="C11:C12"/>
    <mergeCell ref="I17:L18"/>
    <mergeCell ref="A51:B51"/>
    <mergeCell ref="D21:D22"/>
    <mergeCell ref="D67:H68"/>
    <mergeCell ref="A56:B56"/>
    <mergeCell ref="E7:H8"/>
    <mergeCell ref="A3:L4"/>
    <mergeCell ref="C13:C14"/>
    <mergeCell ref="D19:D20"/>
    <mergeCell ref="A5:L6"/>
    <mergeCell ref="C15:C16"/>
    <mergeCell ref="A44:B44"/>
    <mergeCell ref="A29:C30"/>
    <mergeCell ref="A58:B58"/>
    <mergeCell ref="A15:B16"/>
    <mergeCell ref="D27:F30"/>
    <mergeCell ref="E15:F16"/>
    <mergeCell ref="D17:D18"/>
    <mergeCell ref="D11:D12"/>
    <mergeCell ref="J15:L16"/>
    <mergeCell ref="A11:B12"/>
    <mergeCell ref="E19:F20"/>
    <mergeCell ref="D23:D24"/>
    <mergeCell ref="G19:H20"/>
    <mergeCell ref="E9:F10"/>
    <mergeCell ref="G9:I10"/>
    <mergeCell ref="E11:F12"/>
    <mergeCell ref="G11:I12"/>
    <mergeCell ref="C9:C10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pageSetUpPr fitToPage="1"/>
  </sheetPr>
  <dimension ref="A1:L70"/>
  <sheetViews>
    <sheetView topLeftCell="A7" zoomScale="55" zoomScaleNormal="55" workbookViewId="0">
      <selection activeCell="L39" sqref="L39"/>
    </sheetView>
  </sheetViews>
  <sheetFormatPr defaultRowHeight="13.9" x14ac:dyDescent="0.4"/>
  <cols>
    <col min="1" max="3" width="9.0625" style="3" bestFit="1" customWidth="1"/>
    <col min="4" max="4" width="10.25" style="3" bestFit="1" customWidth="1"/>
    <col min="5" max="12" width="9.0625" style="3" bestFit="1" customWidth="1"/>
    <col min="13" max="16384" width="9" style="3"/>
  </cols>
  <sheetData>
    <row r="1" spans="1:12" x14ac:dyDescent="0.4">
      <c r="A1" s="31">
        <v>1</v>
      </c>
      <c r="B1" s="31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x14ac:dyDescent="0.4">
      <c r="A2" s="113"/>
      <c r="B2" s="273"/>
      <c r="C2" s="273"/>
      <c r="D2" s="273"/>
      <c r="E2" s="137"/>
      <c r="F2" s="4"/>
      <c r="G2" s="4"/>
      <c r="H2" s="4"/>
      <c r="I2" s="4"/>
      <c r="J2" s="4"/>
      <c r="K2" s="4"/>
      <c r="L2" s="4"/>
    </row>
    <row r="3" spans="1:12" x14ac:dyDescent="0.4">
      <c r="A3" s="190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2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x14ac:dyDescent="0.4">
      <c r="A5" s="220" t="s">
        <v>198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</row>
    <row r="7" spans="1:12" ht="13.9" customHeight="1" x14ac:dyDescent="0.4">
      <c r="A7" s="269"/>
      <c r="B7" s="270"/>
      <c r="C7" s="270"/>
      <c r="D7" s="270"/>
      <c r="E7" s="265"/>
      <c r="F7" s="265"/>
      <c r="G7" s="265"/>
      <c r="H7" s="266"/>
      <c r="I7" s="264" t="s">
        <v>199</v>
      </c>
      <c r="J7" s="193"/>
      <c r="K7" s="193"/>
      <c r="L7" s="194"/>
    </row>
    <row r="8" spans="1:12" ht="13.9" customHeight="1" x14ac:dyDescent="0.4">
      <c r="A8" s="271"/>
      <c r="B8" s="272"/>
      <c r="C8" s="272"/>
      <c r="D8" s="272"/>
      <c r="E8" s="267"/>
      <c r="F8" s="267"/>
      <c r="G8" s="267"/>
      <c r="H8" s="268"/>
      <c r="I8" s="195"/>
      <c r="J8" s="196"/>
      <c r="K8" s="196"/>
      <c r="L8" s="197"/>
    </row>
    <row r="9" spans="1:12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8</v>
      </c>
      <c r="H9" s="151"/>
      <c r="I9" s="146"/>
      <c r="J9" s="223">
        <f>D64+E64</f>
        <v>0</v>
      </c>
      <c r="K9" s="151"/>
      <c r="L9" s="146"/>
    </row>
    <row r="10" spans="1:12" x14ac:dyDescent="0.4">
      <c r="A10" s="147"/>
      <c r="B10" s="148"/>
      <c r="C10" s="149"/>
      <c r="D10" s="149"/>
      <c r="E10" s="147"/>
      <c r="F10" s="148"/>
      <c r="G10" s="147"/>
      <c r="H10" s="154"/>
      <c r="I10" s="148"/>
      <c r="J10" s="147"/>
      <c r="K10" s="154"/>
      <c r="L10" s="148"/>
    </row>
    <row r="11" spans="1:12" x14ac:dyDescent="0.4">
      <c r="A11" s="214" t="s">
        <v>9</v>
      </c>
      <c r="B11" s="146"/>
      <c r="C11" s="214">
        <f>C64</f>
        <v>0</v>
      </c>
      <c r="D11" s="214">
        <v>1900</v>
      </c>
      <c r="E11" s="214">
        <f>D11*C11</f>
        <v>0</v>
      </c>
      <c r="F11" s="146"/>
      <c r="G11" s="214" t="s">
        <v>10</v>
      </c>
      <c r="H11" s="151"/>
      <c r="I11" s="146"/>
      <c r="J11" s="223">
        <f>C25-J9</f>
        <v>0</v>
      </c>
      <c r="K11" s="151"/>
      <c r="L11" s="146"/>
    </row>
    <row r="12" spans="1:12" x14ac:dyDescent="0.4">
      <c r="A12" s="147"/>
      <c r="B12" s="148"/>
      <c r="C12" s="149"/>
      <c r="D12" s="149"/>
      <c r="E12" s="147"/>
      <c r="F12" s="148"/>
      <c r="G12" s="147"/>
      <c r="H12" s="154"/>
      <c r="I12" s="148"/>
      <c r="J12" s="147"/>
      <c r="K12" s="154"/>
      <c r="L12" s="148"/>
    </row>
    <row r="13" spans="1:12" x14ac:dyDescent="0.4">
      <c r="A13" s="214" t="s">
        <v>11</v>
      </c>
      <c r="B13" s="146"/>
      <c r="C13" s="214">
        <f>D64</f>
        <v>0</v>
      </c>
      <c r="D13" s="214">
        <v>13000</v>
      </c>
      <c r="E13" s="214">
        <f>D13*C13</f>
        <v>0</v>
      </c>
      <c r="F13" s="146"/>
      <c r="G13" s="214"/>
      <c r="H13" s="151"/>
      <c r="I13" s="146"/>
      <c r="J13" s="214"/>
      <c r="K13" s="151"/>
      <c r="L13" s="146"/>
    </row>
    <row r="14" spans="1:12" x14ac:dyDescent="0.4">
      <c r="A14" s="147"/>
      <c r="B14" s="148"/>
      <c r="C14" s="149"/>
      <c r="D14" s="149"/>
      <c r="E14" s="147"/>
      <c r="F14" s="148"/>
      <c r="G14" s="147"/>
      <c r="H14" s="154"/>
      <c r="I14" s="148"/>
      <c r="J14" s="147"/>
      <c r="K14" s="154"/>
      <c r="L14" s="148"/>
    </row>
    <row r="15" spans="1:12" x14ac:dyDescent="0.4">
      <c r="A15" s="214" t="s">
        <v>12</v>
      </c>
      <c r="B15" s="146"/>
      <c r="C15" s="214">
        <f>E64</f>
        <v>0</v>
      </c>
      <c r="D15" s="214">
        <v>15000</v>
      </c>
      <c r="E15" s="214">
        <f>D15*C15</f>
        <v>0</v>
      </c>
      <c r="F15" s="146"/>
      <c r="G15" s="214"/>
      <c r="H15" s="151"/>
      <c r="I15" s="146"/>
      <c r="J15" s="214"/>
      <c r="K15" s="151"/>
      <c r="L15" s="146"/>
    </row>
    <row r="16" spans="1:12" x14ac:dyDescent="0.4">
      <c r="A16" s="147"/>
      <c r="B16" s="148"/>
      <c r="C16" s="149"/>
      <c r="D16" s="149"/>
      <c r="E16" s="147"/>
      <c r="F16" s="148"/>
      <c r="G16" s="147"/>
      <c r="H16" s="154"/>
      <c r="I16" s="148"/>
      <c r="J16" s="147"/>
      <c r="K16" s="154"/>
      <c r="L16" s="148"/>
    </row>
    <row r="17" spans="1:12" x14ac:dyDescent="0.4">
      <c r="A17" s="214" t="s">
        <v>13</v>
      </c>
      <c r="B17" s="146"/>
      <c r="C17" s="214">
        <f>G64</f>
        <v>0</v>
      </c>
      <c r="D17" s="214">
        <v>0</v>
      </c>
      <c r="E17" s="214">
        <f>D17*C17</f>
        <v>0</v>
      </c>
      <c r="F17" s="146"/>
      <c r="G17" s="214" t="s">
        <v>14</v>
      </c>
      <c r="H17" s="146"/>
      <c r="I17" s="223">
        <f>D27</f>
        <v>0</v>
      </c>
      <c r="J17" s="151"/>
      <c r="K17" s="151"/>
      <c r="L17" s="146"/>
    </row>
    <row r="18" spans="1:12" x14ac:dyDescent="0.4">
      <c r="A18" s="147"/>
      <c r="B18" s="148"/>
      <c r="C18" s="149"/>
      <c r="D18" s="149"/>
      <c r="E18" s="147"/>
      <c r="F18" s="148"/>
      <c r="G18" s="147"/>
      <c r="H18" s="148"/>
      <c r="I18" s="147"/>
      <c r="J18" s="154"/>
      <c r="K18" s="154"/>
      <c r="L18" s="148"/>
    </row>
    <row r="19" spans="1:12" x14ac:dyDescent="0.4">
      <c r="A19" s="214" t="s">
        <v>15</v>
      </c>
      <c r="B19" s="146"/>
      <c r="C19" s="214">
        <f>H64</f>
        <v>0</v>
      </c>
      <c r="D19" s="214">
        <v>0</v>
      </c>
      <c r="E19" s="214">
        <f>D19*C19</f>
        <v>0</v>
      </c>
      <c r="F19" s="146"/>
      <c r="G19" s="214" t="s">
        <v>16</v>
      </c>
      <c r="H19" s="146"/>
      <c r="I19" s="223"/>
      <c r="J19" s="151"/>
      <c r="K19" s="151"/>
      <c r="L19" s="146"/>
    </row>
    <row r="20" spans="1:12" x14ac:dyDescent="0.4">
      <c r="A20" s="147"/>
      <c r="B20" s="148"/>
      <c r="C20" s="149"/>
      <c r="D20" s="149"/>
      <c r="E20" s="147"/>
      <c r="F20" s="148"/>
      <c r="G20" s="147"/>
      <c r="H20" s="148"/>
      <c r="I20" s="147"/>
      <c r="J20" s="154"/>
      <c r="K20" s="154"/>
      <c r="L20" s="148"/>
    </row>
    <row r="21" spans="1:12" x14ac:dyDescent="0.4">
      <c r="A21" s="214" t="s">
        <v>17</v>
      </c>
      <c r="B21" s="146"/>
      <c r="C21" s="214">
        <f>I64</f>
        <v>0</v>
      </c>
      <c r="D21" s="214">
        <v>0</v>
      </c>
      <c r="E21" s="214">
        <f>D21*C21</f>
        <v>0</v>
      </c>
      <c r="F21" s="146"/>
      <c r="G21" s="214"/>
      <c r="H21" s="146"/>
      <c r="I21" s="223"/>
      <c r="J21" s="151"/>
      <c r="K21" s="151"/>
      <c r="L21" s="146"/>
    </row>
    <row r="22" spans="1:12" x14ac:dyDescent="0.4">
      <c r="A22" s="147"/>
      <c r="B22" s="148"/>
      <c r="C22" s="149"/>
      <c r="D22" s="149"/>
      <c r="E22" s="147"/>
      <c r="F22" s="148"/>
      <c r="G22" s="147"/>
      <c r="H22" s="148"/>
      <c r="I22" s="147"/>
      <c r="J22" s="154"/>
      <c r="K22" s="154"/>
      <c r="L22" s="148"/>
    </row>
    <row r="23" spans="1:12" x14ac:dyDescent="0.4">
      <c r="A23" s="214" t="s">
        <v>19</v>
      </c>
      <c r="B23" s="146"/>
      <c r="C23" s="214" t="s">
        <v>5</v>
      </c>
      <c r="D23" s="214" t="s">
        <v>6</v>
      </c>
      <c r="E23" s="214" t="s">
        <v>7</v>
      </c>
      <c r="F23" s="146"/>
      <c r="G23" s="214"/>
      <c r="H23" s="146"/>
      <c r="I23" s="223"/>
      <c r="J23" s="151"/>
      <c r="K23" s="151"/>
      <c r="L23" s="146"/>
    </row>
    <row r="24" spans="1:12" ht="17.25" customHeight="1" thickBot="1" x14ac:dyDescent="0.45">
      <c r="A24" s="152"/>
      <c r="B24" s="166"/>
      <c r="C24" s="149"/>
      <c r="D24" s="149"/>
      <c r="E24" s="147"/>
      <c r="F24" s="148"/>
      <c r="G24" s="152"/>
      <c r="H24" s="166"/>
      <c r="I24" s="152"/>
      <c r="J24" s="153"/>
      <c r="K24" s="153"/>
      <c r="L24" s="166"/>
    </row>
    <row r="25" spans="1:12" x14ac:dyDescent="0.4">
      <c r="A25" s="152"/>
      <c r="B25" s="166"/>
      <c r="C25" s="214">
        <f>F64</f>
        <v>0</v>
      </c>
      <c r="D25" s="229">
        <v>3000</v>
      </c>
      <c r="E25" s="229">
        <f>D25*C25</f>
        <v>0</v>
      </c>
      <c r="F25" s="151"/>
      <c r="G25" s="224" t="s">
        <v>20</v>
      </c>
      <c r="H25" s="209"/>
      <c r="I25" s="209"/>
      <c r="J25" s="209"/>
      <c r="K25" s="209"/>
      <c r="L25" s="210"/>
    </row>
    <row r="26" spans="1:12" x14ac:dyDescent="0.4">
      <c r="A26" s="147"/>
      <c r="B26" s="148"/>
      <c r="C26" s="149"/>
      <c r="D26" s="149"/>
      <c r="E26" s="147"/>
      <c r="F26" s="154"/>
      <c r="G26" s="211"/>
      <c r="H26" s="212"/>
      <c r="I26" s="212"/>
      <c r="J26" s="212"/>
      <c r="K26" s="212"/>
      <c r="L26" s="213"/>
    </row>
    <row r="27" spans="1:12" x14ac:dyDescent="0.4">
      <c r="A27" s="230" t="s">
        <v>21</v>
      </c>
      <c r="B27" s="151"/>
      <c r="C27" s="146"/>
      <c r="D27" s="214">
        <f>E11+E13+E15+E17+E19+E21-E25</f>
        <v>0</v>
      </c>
      <c r="E27" s="151"/>
      <c r="F27" s="151"/>
      <c r="G27" s="225">
        <f>I17</f>
        <v>0</v>
      </c>
      <c r="H27" s="199"/>
      <c r="I27" s="199"/>
      <c r="J27" s="199"/>
      <c r="K27" s="199"/>
      <c r="L27" s="200"/>
    </row>
    <row r="28" spans="1:12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2" x14ac:dyDescent="0.4">
      <c r="A29" s="221" t="s">
        <v>22</v>
      </c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2" ht="17.25" customHeight="1" thickBot="1" x14ac:dyDescent="0.45">
      <c r="A30" s="147"/>
      <c r="B30" s="154"/>
      <c r="C30" s="148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2" ht="17.649999999999999" x14ac:dyDescent="0.5">
      <c r="A31" s="222"/>
      <c r="B31" s="188"/>
      <c r="C31" s="188"/>
      <c r="D31" s="188"/>
      <c r="E31" s="188"/>
      <c r="F31" s="188"/>
      <c r="G31" s="154"/>
      <c r="H31" s="154"/>
      <c r="I31" s="154"/>
      <c r="J31" s="154"/>
      <c r="K31" s="154"/>
      <c r="L31" s="148"/>
    </row>
    <row r="32" spans="1:12" x14ac:dyDescent="0.4">
      <c r="A32" s="113" t="s">
        <v>23</v>
      </c>
      <c r="B32" s="137"/>
      <c r="C32" s="6" t="s">
        <v>9</v>
      </c>
      <c r="D32" s="7" t="s">
        <v>219</v>
      </c>
      <c r="E32" s="8" t="s">
        <v>12</v>
      </c>
      <c r="F32" s="9" t="s">
        <v>25</v>
      </c>
      <c r="G32" s="10" t="s">
        <v>13</v>
      </c>
      <c r="H32" s="11" t="s">
        <v>15</v>
      </c>
      <c r="I32" s="12" t="s">
        <v>17</v>
      </c>
      <c r="J32" s="4"/>
      <c r="K32" s="14"/>
      <c r="L32" s="2" t="s">
        <v>26</v>
      </c>
    </row>
    <row r="33" spans="1:12" x14ac:dyDescent="0.4">
      <c r="A33" s="215">
        <v>46107</v>
      </c>
      <c r="B33" s="137"/>
      <c r="C33" s="6"/>
      <c r="D33" s="15"/>
      <c r="E33" s="16"/>
      <c r="F33" s="17"/>
      <c r="G33" s="18"/>
      <c r="H33" s="19"/>
      <c r="I33" s="20"/>
      <c r="J33" s="42"/>
      <c r="K33" s="14"/>
      <c r="L33" s="53">
        <f t="shared" ref="L33:L63" si="0">E33*15000-F33*3000+D33*13000+C33*1900</f>
        <v>0</v>
      </c>
    </row>
    <row r="34" spans="1:12" x14ac:dyDescent="0.4">
      <c r="A34" s="215">
        <v>46108</v>
      </c>
      <c r="B34" s="137"/>
      <c r="C34" s="6"/>
      <c r="D34" s="15"/>
      <c r="E34" s="16"/>
      <c r="F34" s="17"/>
      <c r="G34" s="18"/>
      <c r="H34" s="19"/>
      <c r="I34" s="20"/>
      <c r="J34" s="42"/>
      <c r="K34" s="14"/>
      <c r="L34" s="53">
        <f t="shared" si="0"/>
        <v>0</v>
      </c>
    </row>
    <row r="35" spans="1:12" x14ac:dyDescent="0.4">
      <c r="A35" s="215">
        <v>46109</v>
      </c>
      <c r="B35" s="137"/>
      <c r="C35" s="6"/>
      <c r="D35" s="15"/>
      <c r="E35" s="16"/>
      <c r="F35" s="17"/>
      <c r="G35" s="18"/>
      <c r="H35" s="19"/>
      <c r="I35" s="20"/>
      <c r="J35" s="42"/>
      <c r="K35" s="14"/>
      <c r="L35" s="53">
        <f t="shared" si="0"/>
        <v>0</v>
      </c>
    </row>
    <row r="36" spans="1:12" x14ac:dyDescent="0.4">
      <c r="A36" s="215">
        <v>46110</v>
      </c>
      <c r="B36" s="137"/>
      <c r="C36" s="6"/>
      <c r="D36" s="15"/>
      <c r="E36" s="16"/>
      <c r="F36" s="17"/>
      <c r="G36" s="18"/>
      <c r="H36" s="19"/>
      <c r="I36" s="20"/>
      <c r="J36" s="42"/>
      <c r="K36" s="14"/>
      <c r="L36" s="53">
        <f t="shared" si="0"/>
        <v>0</v>
      </c>
    </row>
    <row r="37" spans="1:12" x14ac:dyDescent="0.4">
      <c r="A37" s="215">
        <v>46111</v>
      </c>
      <c r="B37" s="137"/>
      <c r="C37" s="6"/>
      <c r="D37" s="15"/>
      <c r="E37" s="16"/>
      <c r="F37" s="17"/>
      <c r="G37" s="18"/>
      <c r="H37" s="19"/>
      <c r="I37" s="20"/>
      <c r="J37" s="42"/>
      <c r="K37" s="14"/>
      <c r="L37" s="53">
        <f t="shared" si="0"/>
        <v>0</v>
      </c>
    </row>
    <row r="38" spans="1:12" x14ac:dyDescent="0.4">
      <c r="A38" s="215">
        <v>46112</v>
      </c>
      <c r="B38" s="137"/>
      <c r="C38" s="6"/>
      <c r="D38" s="15"/>
      <c r="E38" s="16"/>
      <c r="F38" s="17"/>
      <c r="G38" s="18"/>
      <c r="H38" s="19"/>
      <c r="I38" s="20"/>
      <c r="J38" s="42"/>
      <c r="K38" s="14"/>
      <c r="L38" s="53">
        <f t="shared" si="0"/>
        <v>0</v>
      </c>
    </row>
    <row r="39" spans="1:12" x14ac:dyDescent="0.4">
      <c r="A39" s="215">
        <v>46113</v>
      </c>
      <c r="B39" s="137"/>
      <c r="C39" s="6"/>
      <c r="D39" s="15"/>
      <c r="E39" s="16"/>
      <c r="F39" s="17"/>
      <c r="G39" s="18"/>
      <c r="H39" s="19"/>
      <c r="I39" s="20"/>
      <c r="J39" s="42"/>
      <c r="K39" s="14"/>
      <c r="L39" s="53">
        <f t="shared" si="0"/>
        <v>0</v>
      </c>
    </row>
    <row r="40" spans="1:12" x14ac:dyDescent="0.4">
      <c r="A40" s="215">
        <v>46114</v>
      </c>
      <c r="B40" s="137"/>
      <c r="C40" s="6"/>
      <c r="D40" s="15"/>
      <c r="E40" s="16"/>
      <c r="F40" s="17"/>
      <c r="G40" s="18"/>
      <c r="H40" s="19"/>
      <c r="I40" s="20"/>
      <c r="J40" s="42"/>
      <c r="K40" s="14"/>
      <c r="L40" s="53">
        <f t="shared" si="0"/>
        <v>0</v>
      </c>
    </row>
    <row r="41" spans="1:12" x14ac:dyDescent="0.4">
      <c r="A41" s="215">
        <v>46115</v>
      </c>
      <c r="B41" s="137"/>
      <c r="C41" s="6"/>
      <c r="D41" s="15"/>
      <c r="E41" s="16"/>
      <c r="F41" s="17"/>
      <c r="G41" s="18"/>
      <c r="H41" s="19"/>
      <c r="I41" s="20"/>
      <c r="J41" s="42"/>
      <c r="K41" s="14"/>
      <c r="L41" s="53">
        <f t="shared" si="0"/>
        <v>0</v>
      </c>
    </row>
    <row r="42" spans="1:12" x14ac:dyDescent="0.4">
      <c r="A42" s="215">
        <v>46116</v>
      </c>
      <c r="B42" s="137"/>
      <c r="C42" s="6"/>
      <c r="D42" s="15"/>
      <c r="E42" s="16"/>
      <c r="F42" s="17"/>
      <c r="G42" s="18"/>
      <c r="H42" s="19"/>
      <c r="I42" s="20"/>
      <c r="J42" s="42"/>
      <c r="K42" s="14"/>
      <c r="L42" s="53">
        <f t="shared" si="0"/>
        <v>0</v>
      </c>
    </row>
    <row r="43" spans="1:12" x14ac:dyDescent="0.4">
      <c r="A43" s="215">
        <v>46117</v>
      </c>
      <c r="B43" s="137"/>
      <c r="C43" s="6"/>
      <c r="D43" s="15"/>
      <c r="E43" s="16"/>
      <c r="F43" s="17"/>
      <c r="G43" s="18"/>
      <c r="H43" s="19"/>
      <c r="I43" s="20"/>
      <c r="J43" s="42"/>
      <c r="K43" s="14"/>
      <c r="L43" s="53">
        <f t="shared" si="0"/>
        <v>0</v>
      </c>
    </row>
    <row r="44" spans="1:12" x14ac:dyDescent="0.4">
      <c r="A44" s="215">
        <v>46118</v>
      </c>
      <c r="B44" s="137"/>
      <c r="C44" s="6"/>
      <c r="D44" s="15"/>
      <c r="E44" s="16"/>
      <c r="F44" s="17"/>
      <c r="G44" s="18"/>
      <c r="H44" s="19"/>
      <c r="I44" s="20"/>
      <c r="J44" s="42"/>
      <c r="K44" s="14"/>
      <c r="L44" s="53">
        <f t="shared" si="0"/>
        <v>0</v>
      </c>
    </row>
    <row r="45" spans="1:12" x14ac:dyDescent="0.4">
      <c r="A45" s="215">
        <v>46119</v>
      </c>
      <c r="B45" s="137"/>
      <c r="C45" s="6"/>
      <c r="D45" s="15"/>
      <c r="E45" s="16"/>
      <c r="F45" s="17"/>
      <c r="G45" s="18"/>
      <c r="H45" s="19"/>
      <c r="I45" s="20"/>
      <c r="J45" s="42"/>
      <c r="K45" s="14"/>
      <c r="L45" s="53">
        <f t="shared" si="0"/>
        <v>0</v>
      </c>
    </row>
    <row r="46" spans="1:12" x14ac:dyDescent="0.4">
      <c r="A46" s="215">
        <v>46120</v>
      </c>
      <c r="B46" s="137"/>
      <c r="C46" s="6"/>
      <c r="D46" s="15"/>
      <c r="E46" s="16"/>
      <c r="F46" s="17"/>
      <c r="G46" s="18"/>
      <c r="H46" s="19"/>
      <c r="I46" s="20"/>
      <c r="J46" s="42"/>
      <c r="K46" s="14"/>
      <c r="L46" s="53">
        <f t="shared" si="0"/>
        <v>0</v>
      </c>
    </row>
    <row r="47" spans="1:12" x14ac:dyDescent="0.4">
      <c r="A47" s="215">
        <v>46121</v>
      </c>
      <c r="B47" s="137"/>
      <c r="C47" s="6"/>
      <c r="D47" s="15"/>
      <c r="E47" s="16"/>
      <c r="F47" s="17"/>
      <c r="G47" s="18"/>
      <c r="H47" s="19"/>
      <c r="I47" s="20"/>
      <c r="J47" s="42"/>
      <c r="K47" s="14"/>
      <c r="L47" s="53">
        <f t="shared" si="0"/>
        <v>0</v>
      </c>
    </row>
    <row r="48" spans="1:12" x14ac:dyDescent="0.4">
      <c r="A48" s="215">
        <v>46122</v>
      </c>
      <c r="B48" s="137"/>
      <c r="C48" s="6"/>
      <c r="D48" s="15"/>
      <c r="E48" s="16"/>
      <c r="F48" s="17"/>
      <c r="G48" s="18"/>
      <c r="H48" s="19"/>
      <c r="I48" s="20"/>
      <c r="J48" s="42"/>
      <c r="K48" s="14"/>
      <c r="L48" s="53">
        <f t="shared" si="0"/>
        <v>0</v>
      </c>
    </row>
    <row r="49" spans="1:12" x14ac:dyDescent="0.4">
      <c r="A49" s="215">
        <v>46123</v>
      </c>
      <c r="B49" s="137"/>
      <c r="C49" s="6"/>
      <c r="D49" s="15"/>
      <c r="E49" s="16"/>
      <c r="F49" s="17"/>
      <c r="G49" s="18"/>
      <c r="H49" s="19"/>
      <c r="I49" s="20"/>
      <c r="J49" s="42"/>
      <c r="K49" s="14"/>
      <c r="L49" s="53">
        <f t="shared" si="0"/>
        <v>0</v>
      </c>
    </row>
    <row r="50" spans="1:12" x14ac:dyDescent="0.4">
      <c r="A50" s="215">
        <v>46124</v>
      </c>
      <c r="B50" s="137"/>
      <c r="C50" s="6"/>
      <c r="D50" s="15"/>
      <c r="E50" s="16"/>
      <c r="F50" s="17"/>
      <c r="G50" s="18"/>
      <c r="H50" s="19"/>
      <c r="I50" s="20"/>
      <c r="J50" s="42"/>
      <c r="K50" s="14"/>
      <c r="L50" s="53">
        <f t="shared" si="0"/>
        <v>0</v>
      </c>
    </row>
    <row r="51" spans="1:12" x14ac:dyDescent="0.4">
      <c r="A51" s="215">
        <v>46125</v>
      </c>
      <c r="B51" s="137"/>
      <c r="C51" s="6"/>
      <c r="D51" s="15"/>
      <c r="E51" s="16"/>
      <c r="F51" s="17"/>
      <c r="G51" s="18"/>
      <c r="H51" s="19"/>
      <c r="I51" s="20"/>
      <c r="J51" s="42"/>
      <c r="K51" s="14"/>
      <c r="L51" s="53">
        <f t="shared" si="0"/>
        <v>0</v>
      </c>
    </row>
    <row r="52" spans="1:12" x14ac:dyDescent="0.4">
      <c r="A52" s="215">
        <v>46126</v>
      </c>
      <c r="B52" s="137"/>
      <c r="C52" s="6"/>
      <c r="D52" s="15"/>
      <c r="E52" s="16"/>
      <c r="F52" s="17"/>
      <c r="G52" s="18"/>
      <c r="H52" s="19"/>
      <c r="I52" s="20"/>
      <c r="J52" s="42"/>
      <c r="K52" s="14"/>
      <c r="L52" s="53">
        <f t="shared" si="0"/>
        <v>0</v>
      </c>
    </row>
    <row r="53" spans="1:12" x14ac:dyDescent="0.4">
      <c r="A53" s="215">
        <v>46127</v>
      </c>
      <c r="B53" s="137"/>
      <c r="C53" s="6"/>
      <c r="D53" s="15"/>
      <c r="E53" s="16"/>
      <c r="F53" s="17"/>
      <c r="G53" s="18"/>
      <c r="H53" s="19"/>
      <c r="I53" s="20"/>
      <c r="J53" s="42"/>
      <c r="K53" s="14"/>
      <c r="L53" s="53">
        <f t="shared" si="0"/>
        <v>0</v>
      </c>
    </row>
    <row r="54" spans="1:12" x14ac:dyDescent="0.4">
      <c r="A54" s="215">
        <v>46128</v>
      </c>
      <c r="B54" s="137"/>
      <c r="C54" s="6"/>
      <c r="D54" s="15"/>
      <c r="E54" s="16"/>
      <c r="F54" s="17"/>
      <c r="G54" s="18"/>
      <c r="H54" s="19"/>
      <c r="I54" s="20"/>
      <c r="J54" s="42"/>
      <c r="K54" s="14"/>
      <c r="L54" s="53">
        <f t="shared" si="0"/>
        <v>0</v>
      </c>
    </row>
    <row r="55" spans="1:12" x14ac:dyDescent="0.4">
      <c r="A55" s="215">
        <v>46129</v>
      </c>
      <c r="B55" s="137"/>
      <c r="C55" s="6"/>
      <c r="D55" s="15"/>
      <c r="E55" s="16"/>
      <c r="F55" s="17"/>
      <c r="G55" s="18"/>
      <c r="H55" s="19"/>
      <c r="I55" s="20"/>
      <c r="J55" s="42"/>
      <c r="K55" s="14"/>
      <c r="L55" s="53">
        <f t="shared" si="0"/>
        <v>0</v>
      </c>
    </row>
    <row r="56" spans="1:12" x14ac:dyDescent="0.4">
      <c r="A56" s="215">
        <v>46130</v>
      </c>
      <c r="B56" s="137"/>
      <c r="C56" s="6"/>
      <c r="D56" s="15"/>
      <c r="E56" s="16"/>
      <c r="F56" s="17"/>
      <c r="G56" s="18"/>
      <c r="H56" s="19"/>
      <c r="I56" s="20"/>
      <c r="J56" s="42"/>
      <c r="K56" s="14"/>
      <c r="L56" s="53">
        <f t="shared" si="0"/>
        <v>0</v>
      </c>
    </row>
    <row r="57" spans="1:12" x14ac:dyDescent="0.4">
      <c r="A57" s="215">
        <v>46131</v>
      </c>
      <c r="B57" s="137"/>
      <c r="C57" s="6"/>
      <c r="D57" s="15"/>
      <c r="E57" s="16"/>
      <c r="F57" s="17"/>
      <c r="G57" s="18"/>
      <c r="H57" s="19"/>
      <c r="I57" s="20"/>
      <c r="J57" s="42"/>
      <c r="K57" s="14"/>
      <c r="L57" s="53">
        <f t="shared" si="0"/>
        <v>0</v>
      </c>
    </row>
    <row r="58" spans="1:12" x14ac:dyDescent="0.4">
      <c r="A58" s="215">
        <v>46132</v>
      </c>
      <c r="B58" s="137"/>
      <c r="C58" s="6"/>
      <c r="D58" s="15"/>
      <c r="E58" s="16"/>
      <c r="F58" s="17"/>
      <c r="G58" s="18"/>
      <c r="H58" s="19"/>
      <c r="I58" s="20"/>
      <c r="J58" s="42"/>
      <c r="K58" s="14"/>
      <c r="L58" s="53">
        <f t="shared" si="0"/>
        <v>0</v>
      </c>
    </row>
    <row r="59" spans="1:12" x14ac:dyDescent="0.4">
      <c r="A59" s="215">
        <v>46133</v>
      </c>
      <c r="B59" s="137"/>
      <c r="C59" s="6"/>
      <c r="D59" s="15"/>
      <c r="E59" s="16"/>
      <c r="F59" s="17"/>
      <c r="G59" s="18"/>
      <c r="H59" s="19"/>
      <c r="I59" s="20"/>
      <c r="J59" s="42"/>
      <c r="K59" s="14"/>
      <c r="L59" s="53">
        <f t="shared" si="0"/>
        <v>0</v>
      </c>
    </row>
    <row r="60" spans="1:12" x14ac:dyDescent="0.4">
      <c r="A60" s="215">
        <v>46134</v>
      </c>
      <c r="B60" s="137"/>
      <c r="C60" s="6"/>
      <c r="D60" s="15"/>
      <c r="E60" s="16"/>
      <c r="F60" s="17"/>
      <c r="G60" s="18"/>
      <c r="H60" s="19"/>
      <c r="I60" s="20"/>
      <c r="J60" s="42"/>
      <c r="K60" s="14"/>
      <c r="L60" s="53">
        <f t="shared" si="0"/>
        <v>0</v>
      </c>
    </row>
    <row r="61" spans="1:12" x14ac:dyDescent="0.4">
      <c r="A61" s="215">
        <v>46135</v>
      </c>
      <c r="B61" s="137"/>
      <c r="C61" s="6"/>
      <c r="D61" s="15"/>
      <c r="E61" s="16"/>
      <c r="F61" s="17"/>
      <c r="G61" s="18"/>
      <c r="H61" s="19"/>
      <c r="I61" s="20"/>
      <c r="J61" s="42"/>
      <c r="K61" s="14"/>
      <c r="L61" s="53">
        <f t="shared" si="0"/>
        <v>0</v>
      </c>
    </row>
    <row r="62" spans="1:12" x14ac:dyDescent="0.4">
      <c r="A62" s="215">
        <v>46136</v>
      </c>
      <c r="B62" s="137"/>
      <c r="C62" s="6"/>
      <c r="D62" s="15"/>
      <c r="E62" s="16"/>
      <c r="F62" s="17"/>
      <c r="G62" s="18"/>
      <c r="H62" s="19"/>
      <c r="I62" s="20"/>
      <c r="J62" s="42"/>
      <c r="K62" s="14"/>
      <c r="L62" s="53">
        <f t="shared" si="0"/>
        <v>0</v>
      </c>
    </row>
    <row r="63" spans="1:12" x14ac:dyDescent="0.4">
      <c r="A63" s="215">
        <v>46137</v>
      </c>
      <c r="B63" s="137"/>
      <c r="C63" s="6"/>
      <c r="D63" s="15"/>
      <c r="E63" s="16"/>
      <c r="F63" s="17"/>
      <c r="G63" s="18"/>
      <c r="H63" s="19"/>
      <c r="I63" s="20"/>
      <c r="J63" s="42"/>
      <c r="K63" s="14"/>
      <c r="L63" s="53">
        <f t="shared" si="0"/>
        <v>0</v>
      </c>
    </row>
    <row r="64" spans="1:12" x14ac:dyDescent="0.4">
      <c r="A64" s="234" t="s">
        <v>26</v>
      </c>
      <c r="B64" s="115"/>
      <c r="C64" s="74">
        <f t="shared" ref="C64:I64" si="1">SUM(C33:C63)</f>
        <v>0</v>
      </c>
      <c r="D64" s="75">
        <f t="shared" si="1"/>
        <v>0</v>
      </c>
      <c r="E64" s="76">
        <f t="shared" si="1"/>
        <v>0</v>
      </c>
      <c r="F64" s="77">
        <f t="shared" si="1"/>
        <v>0</v>
      </c>
      <c r="G64" s="78">
        <f t="shared" si="1"/>
        <v>0</v>
      </c>
      <c r="H64" s="79">
        <f t="shared" si="1"/>
        <v>0</v>
      </c>
      <c r="I64" s="80">
        <f t="shared" si="1"/>
        <v>0</v>
      </c>
      <c r="J64" s="237"/>
      <c r="K64" s="115"/>
      <c r="L64" s="98">
        <f>SUM(L33:L63)</f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/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104">
    <mergeCell ref="A54:B54"/>
    <mergeCell ref="A61:B61"/>
    <mergeCell ref="A55:B55"/>
    <mergeCell ref="C19:C20"/>
    <mergeCell ref="A41:B41"/>
    <mergeCell ref="D13:D14"/>
    <mergeCell ref="D69:H70"/>
    <mergeCell ref="J11:L12"/>
    <mergeCell ref="A33:B33"/>
    <mergeCell ref="A42:B42"/>
    <mergeCell ref="A53:B53"/>
    <mergeCell ref="I19:L20"/>
    <mergeCell ref="A35:B35"/>
    <mergeCell ref="A62:B62"/>
    <mergeCell ref="A39:B39"/>
    <mergeCell ref="A48:B48"/>
    <mergeCell ref="J64:K64"/>
    <mergeCell ref="G25:L26"/>
    <mergeCell ref="A59:B59"/>
    <mergeCell ref="E15:F16"/>
    <mergeCell ref="A45:B45"/>
    <mergeCell ref="D17:D18"/>
    <mergeCell ref="A64:B64"/>
    <mergeCell ref="A51:B51"/>
    <mergeCell ref="A44:B44"/>
    <mergeCell ref="E19:F20"/>
    <mergeCell ref="D23:D24"/>
    <mergeCell ref="G19:H20"/>
    <mergeCell ref="E9:F10"/>
    <mergeCell ref="A34:B34"/>
    <mergeCell ref="A49:B49"/>
    <mergeCell ref="G9:I10"/>
    <mergeCell ref="E11:F12"/>
    <mergeCell ref="A36:B36"/>
    <mergeCell ref="G11:I12"/>
    <mergeCell ref="C21:C22"/>
    <mergeCell ref="I23:L24"/>
    <mergeCell ref="E17:F18"/>
    <mergeCell ref="D67:H68"/>
    <mergeCell ref="A63:B63"/>
    <mergeCell ref="A58:B58"/>
    <mergeCell ref="A2:E2"/>
    <mergeCell ref="A57:B57"/>
    <mergeCell ref="A15:B16"/>
    <mergeCell ref="D27:F30"/>
    <mergeCell ref="A32:B32"/>
    <mergeCell ref="C9:C10"/>
    <mergeCell ref="C11:C12"/>
    <mergeCell ref="A9:B10"/>
    <mergeCell ref="E25:F26"/>
    <mergeCell ref="A50:B50"/>
    <mergeCell ref="A47:B47"/>
    <mergeCell ref="A11:B12"/>
    <mergeCell ref="A13:B14"/>
    <mergeCell ref="A46:B46"/>
    <mergeCell ref="A37:B37"/>
    <mergeCell ref="D9:D10"/>
    <mergeCell ref="A56:B56"/>
    <mergeCell ref="D15:D16"/>
    <mergeCell ref="C17:C18"/>
    <mergeCell ref="A52:B52"/>
    <mergeCell ref="G17:H18"/>
    <mergeCell ref="A3:L4"/>
    <mergeCell ref="D19:D20"/>
    <mergeCell ref="A5:L6"/>
    <mergeCell ref="I7:L8"/>
    <mergeCell ref="G27:L30"/>
    <mergeCell ref="I21:L22"/>
    <mergeCell ref="G13:I14"/>
    <mergeCell ref="E7:H8"/>
    <mergeCell ref="D11:D12"/>
    <mergeCell ref="C23:C24"/>
    <mergeCell ref="G21:H22"/>
    <mergeCell ref="J15:L16"/>
    <mergeCell ref="C13:C14"/>
    <mergeCell ref="J9:L10"/>
    <mergeCell ref="A7:D8"/>
    <mergeCell ref="C15:C16"/>
    <mergeCell ref="D21:D22"/>
    <mergeCell ref="A21:B22"/>
    <mergeCell ref="I69:L70"/>
    <mergeCell ref="G23:H24"/>
    <mergeCell ref="A65:L66"/>
    <mergeCell ref="E13:F14"/>
    <mergeCell ref="G15:I16"/>
    <mergeCell ref="A38:B38"/>
    <mergeCell ref="A43:B43"/>
    <mergeCell ref="E23:F24"/>
    <mergeCell ref="A40:B40"/>
    <mergeCell ref="A60:B60"/>
    <mergeCell ref="A23:B26"/>
    <mergeCell ref="A17:B18"/>
    <mergeCell ref="A67:C68"/>
    <mergeCell ref="C25:C26"/>
    <mergeCell ref="A19:B20"/>
    <mergeCell ref="J13:L14"/>
    <mergeCell ref="A69:C70"/>
    <mergeCell ref="I67:L68"/>
    <mergeCell ref="E21:F22"/>
    <mergeCell ref="D25:D26"/>
    <mergeCell ref="A31:L31"/>
    <mergeCell ref="A27:C28"/>
    <mergeCell ref="I17:L18"/>
    <mergeCell ref="A29:C30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pageSetUpPr fitToPage="1"/>
  </sheetPr>
  <dimension ref="A1:DO70"/>
  <sheetViews>
    <sheetView zoomScale="55" zoomScaleNormal="55" workbookViewId="0">
      <selection activeCell="P40" sqref="P40"/>
    </sheetView>
  </sheetViews>
  <sheetFormatPr defaultRowHeight="13.9" x14ac:dyDescent="0.4"/>
  <cols>
    <col min="1" max="3" width="9.0625" style="3" bestFit="1" customWidth="1"/>
    <col min="4" max="4" width="10.25" style="3" bestFit="1" customWidth="1"/>
    <col min="5" max="5" width="9" style="3" customWidth="1"/>
    <col min="6" max="6" width="9.0625" style="3" bestFit="1" customWidth="1"/>
    <col min="7" max="7" width="9.6875" style="3" bestFit="1" customWidth="1"/>
    <col min="8" max="9" width="9.0625" style="3" bestFit="1" customWidth="1"/>
    <col min="10" max="10" width="10" style="3" bestFit="1" customWidth="1"/>
    <col min="11" max="11" width="9.0625" style="3" bestFit="1" customWidth="1"/>
    <col min="12" max="12" width="9.625" style="3" bestFit="1" customWidth="1"/>
    <col min="13" max="16384" width="9" style="3"/>
  </cols>
  <sheetData>
    <row r="1" spans="1:119" ht="24.75" customHeight="1" x14ac:dyDescent="0.4">
      <c r="A1" s="23">
        <v>1</v>
      </c>
      <c r="B1" s="23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</row>
    <row r="2" spans="1:119" ht="25.15" customHeight="1" x14ac:dyDescent="0.4">
      <c r="A2" s="25">
        <v>996000</v>
      </c>
      <c r="B2" s="26">
        <v>1236000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</row>
    <row r="3" spans="1:119" x14ac:dyDescent="0.4">
      <c r="A3" s="261" t="s">
        <v>200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</row>
    <row r="4" spans="1:119" ht="16.899999999999999" customHeight="1" x14ac:dyDescent="0.4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27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</row>
    <row r="5" spans="1:119" ht="16.899999999999999" customHeight="1" x14ac:dyDescent="0.4">
      <c r="A5" s="220" t="s">
        <v>201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</row>
    <row r="6" spans="1:119" ht="16.899999999999999" customHeight="1" x14ac:dyDescent="0.4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</row>
    <row r="7" spans="1:119" ht="17.25" customHeight="1" x14ac:dyDescent="0.4">
      <c r="A7" s="227" t="e">
        <f>#REF!</f>
        <v>#REF!</v>
      </c>
      <c r="B7" s="231"/>
      <c r="C7" s="231"/>
      <c r="D7" s="231"/>
      <c r="E7" s="216" t="s">
        <v>2</v>
      </c>
      <c r="F7" s="216"/>
      <c r="G7" s="216"/>
      <c r="H7" s="217"/>
      <c r="I7" s="228" t="s">
        <v>202</v>
      </c>
      <c r="J7" s="193"/>
      <c r="K7" s="193"/>
      <c r="L7" s="19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</row>
    <row r="8" spans="1:119" ht="17.25" customHeight="1" x14ac:dyDescent="0.4">
      <c r="A8" s="232"/>
      <c r="B8" s="233"/>
      <c r="C8" s="233"/>
      <c r="D8" s="233"/>
      <c r="E8" s="218"/>
      <c r="F8" s="218"/>
      <c r="G8" s="218"/>
      <c r="H8" s="219"/>
      <c r="I8" s="195"/>
      <c r="J8" s="196"/>
      <c r="K8" s="196"/>
      <c r="L8" s="197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</row>
    <row r="9" spans="1:119" ht="17.25" customHeight="1" x14ac:dyDescent="0.4">
      <c r="A9" s="222" t="s">
        <v>4</v>
      </c>
      <c r="B9" s="146"/>
      <c r="C9" s="222" t="s">
        <v>5</v>
      </c>
      <c r="D9" s="222" t="s">
        <v>6</v>
      </c>
      <c r="E9" s="222" t="s">
        <v>7</v>
      </c>
      <c r="F9" s="146"/>
      <c r="G9" s="222" t="s">
        <v>203</v>
      </c>
      <c r="H9" s="146"/>
      <c r="I9" s="222" t="s">
        <v>5</v>
      </c>
      <c r="J9" s="223" t="s">
        <v>6</v>
      </c>
      <c r="K9" s="222" t="s">
        <v>7</v>
      </c>
      <c r="L9" s="146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</row>
    <row r="10" spans="1:119" ht="17.25" customHeight="1" x14ac:dyDescent="0.4">
      <c r="A10" s="147"/>
      <c r="B10" s="148"/>
      <c r="C10" s="149"/>
      <c r="D10" s="149"/>
      <c r="E10" s="147"/>
      <c r="F10" s="148"/>
      <c r="G10" s="147"/>
      <c r="H10" s="148"/>
      <c r="I10" s="149"/>
      <c r="J10" s="149"/>
      <c r="K10" s="147"/>
      <c r="L10" s="148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</row>
    <row r="11" spans="1:119" x14ac:dyDescent="0.4">
      <c r="A11" s="214" t="s">
        <v>9</v>
      </c>
      <c r="B11" s="146"/>
      <c r="C11" s="214">
        <f>C64</f>
        <v>0</v>
      </c>
      <c r="D11" s="239">
        <v>1900</v>
      </c>
      <c r="E11" s="214">
        <f>D11*C11</f>
        <v>0</v>
      </c>
      <c r="F11" s="146"/>
      <c r="G11" s="222" t="s">
        <v>187</v>
      </c>
      <c r="H11" s="146"/>
      <c r="I11" s="223">
        <f>H64</f>
        <v>0</v>
      </c>
      <c r="J11" s="223">
        <v>16000</v>
      </c>
      <c r="K11" s="275">
        <f>J11*I11</f>
        <v>0</v>
      </c>
      <c r="L11" s="276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</row>
    <row r="12" spans="1:119" x14ac:dyDescent="0.4">
      <c r="A12" s="147"/>
      <c r="B12" s="148"/>
      <c r="C12" s="149"/>
      <c r="D12" s="149"/>
      <c r="E12" s="147"/>
      <c r="F12" s="148"/>
      <c r="G12" s="147"/>
      <c r="H12" s="148"/>
      <c r="I12" s="149"/>
      <c r="J12" s="149"/>
      <c r="K12" s="147"/>
      <c r="L12" s="277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</row>
    <row r="13" spans="1:119" x14ac:dyDescent="0.4">
      <c r="A13" s="214" t="s">
        <v>11</v>
      </c>
      <c r="B13" s="146"/>
      <c r="C13" s="214">
        <f>D64</f>
        <v>0</v>
      </c>
      <c r="D13" s="214">
        <v>13000</v>
      </c>
      <c r="E13" s="214">
        <f>D13*C13</f>
        <v>0</v>
      </c>
      <c r="F13" s="146"/>
      <c r="G13" s="222" t="s">
        <v>204</v>
      </c>
      <c r="H13" s="146"/>
      <c r="I13" s="223">
        <f>I64</f>
        <v>0</v>
      </c>
      <c r="J13" s="223">
        <v>1000</v>
      </c>
      <c r="K13" s="275">
        <f>J13*I13</f>
        <v>0</v>
      </c>
      <c r="L13" s="276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</row>
    <row r="14" spans="1:119" x14ac:dyDescent="0.4">
      <c r="A14" s="147"/>
      <c r="B14" s="148"/>
      <c r="C14" s="149"/>
      <c r="D14" s="149"/>
      <c r="E14" s="147"/>
      <c r="F14" s="148"/>
      <c r="G14" s="147"/>
      <c r="H14" s="148"/>
      <c r="I14" s="149"/>
      <c r="J14" s="149"/>
      <c r="K14" s="147"/>
      <c r="L14" s="277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</row>
    <row r="15" spans="1:119" x14ac:dyDescent="0.4">
      <c r="A15" s="214" t="s">
        <v>12</v>
      </c>
      <c r="B15" s="146"/>
      <c r="C15" s="214">
        <f>E64</f>
        <v>0</v>
      </c>
      <c r="D15" s="214">
        <v>15000</v>
      </c>
      <c r="E15" s="214">
        <f>D15*C15</f>
        <v>0</v>
      </c>
      <c r="F15" s="146"/>
      <c r="G15" s="283"/>
      <c r="H15" s="146"/>
      <c r="I15" s="282"/>
      <c r="J15" s="151"/>
      <c r="K15" s="151"/>
      <c r="L15" s="276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</row>
    <row r="16" spans="1:119" x14ac:dyDescent="0.4">
      <c r="A16" s="147"/>
      <c r="B16" s="148"/>
      <c r="C16" s="149"/>
      <c r="D16" s="149"/>
      <c r="E16" s="147"/>
      <c r="F16" s="148"/>
      <c r="G16" s="147"/>
      <c r="H16" s="148"/>
      <c r="I16" s="147"/>
      <c r="J16" s="154"/>
      <c r="K16" s="154"/>
      <c r="L16" s="277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</row>
    <row r="17" spans="1:119" x14ac:dyDescent="0.4">
      <c r="A17" s="214" t="s">
        <v>25</v>
      </c>
      <c r="B17" s="146"/>
      <c r="C17" s="214">
        <f>F64</f>
        <v>0</v>
      </c>
      <c r="D17" s="214">
        <v>3000</v>
      </c>
      <c r="E17" s="214">
        <f>D17*C17</f>
        <v>0</v>
      </c>
      <c r="F17" s="146"/>
      <c r="G17" s="222"/>
      <c r="H17" s="146"/>
      <c r="I17" s="223"/>
      <c r="J17" s="223"/>
      <c r="K17" s="290"/>
      <c r="L17" s="276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</row>
    <row r="18" spans="1:119" x14ac:dyDescent="0.4">
      <c r="A18" s="147"/>
      <c r="B18" s="148"/>
      <c r="C18" s="149"/>
      <c r="D18" s="149"/>
      <c r="E18" s="147"/>
      <c r="F18" s="148"/>
      <c r="G18" s="147"/>
      <c r="H18" s="148"/>
      <c r="I18" s="149"/>
      <c r="J18" s="149"/>
      <c r="K18" s="147"/>
      <c r="L18" s="277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</row>
    <row r="19" spans="1:119" x14ac:dyDescent="0.4">
      <c r="A19" s="214" t="s">
        <v>205</v>
      </c>
      <c r="B19" s="151"/>
      <c r="C19" s="151"/>
      <c r="D19" s="146"/>
      <c r="E19" s="214">
        <f>E11+E13+E15-E17</f>
        <v>0</v>
      </c>
      <c r="F19" s="146"/>
      <c r="G19" s="214" t="s">
        <v>206</v>
      </c>
      <c r="H19" s="151"/>
      <c r="I19" s="151"/>
      <c r="J19" s="146"/>
      <c r="K19" s="223">
        <f>K11-K13</f>
        <v>0</v>
      </c>
      <c r="L19" s="146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</row>
    <row r="20" spans="1:119" x14ac:dyDescent="0.4">
      <c r="A20" s="152"/>
      <c r="B20" s="153"/>
      <c r="C20" s="153"/>
      <c r="D20" s="166"/>
      <c r="E20" s="152"/>
      <c r="F20" s="166"/>
      <c r="G20" s="152"/>
      <c r="H20" s="153"/>
      <c r="I20" s="153"/>
      <c r="J20" s="166"/>
      <c r="K20" s="152"/>
      <c r="L20" s="166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</row>
    <row r="21" spans="1:119" x14ac:dyDescent="0.4">
      <c r="A21" s="152"/>
      <c r="B21" s="153"/>
      <c r="C21" s="153"/>
      <c r="D21" s="166"/>
      <c r="E21" s="152"/>
      <c r="F21" s="166"/>
      <c r="G21" s="152"/>
      <c r="H21" s="153"/>
      <c r="I21" s="153"/>
      <c r="J21" s="166"/>
      <c r="K21" s="152"/>
      <c r="L21" s="166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</row>
    <row r="22" spans="1:119" x14ac:dyDescent="0.4">
      <c r="A22" s="147"/>
      <c r="B22" s="154"/>
      <c r="C22" s="154"/>
      <c r="D22" s="148"/>
      <c r="E22" s="147"/>
      <c r="F22" s="148"/>
      <c r="G22" s="147"/>
      <c r="H22" s="154"/>
      <c r="I22" s="154"/>
      <c r="J22" s="148"/>
      <c r="K22" s="147"/>
      <c r="L22" s="148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</row>
    <row r="23" spans="1:119" x14ac:dyDescent="0.4">
      <c r="A23" s="214"/>
      <c r="B23" s="151"/>
      <c r="C23" s="151"/>
      <c r="D23" s="151"/>
      <c r="E23" s="151"/>
      <c r="F23" s="151"/>
      <c r="G23" s="151"/>
      <c r="H23" s="151"/>
      <c r="I23" s="151"/>
      <c r="J23" s="151"/>
      <c r="K23" s="151"/>
      <c r="L23" s="146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</row>
    <row r="24" spans="1:119" ht="14.25" thickBot="1" x14ac:dyDescent="0.45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66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</row>
    <row r="25" spans="1:119" x14ac:dyDescent="0.4">
      <c r="A25" s="152"/>
      <c r="B25" s="153"/>
      <c r="C25" s="153"/>
      <c r="D25" s="153"/>
      <c r="E25" s="153"/>
      <c r="F25" s="153"/>
      <c r="G25" s="278"/>
      <c r="H25" s="209"/>
      <c r="I25" s="209"/>
      <c r="J25" s="209"/>
      <c r="K25" s="209"/>
      <c r="L25" s="210"/>
    </row>
    <row r="26" spans="1:119" x14ac:dyDescent="0.4">
      <c r="A26" s="147"/>
      <c r="B26" s="154"/>
      <c r="C26" s="154"/>
      <c r="D26" s="154"/>
      <c r="E26" s="154"/>
      <c r="F26" s="154"/>
      <c r="G26" s="279"/>
      <c r="H26" s="280"/>
      <c r="I26" s="280"/>
      <c r="J26" s="280"/>
      <c r="K26" s="280"/>
      <c r="L26" s="281"/>
    </row>
    <row r="27" spans="1:119" ht="16.899999999999999" customHeight="1" x14ac:dyDescent="0.4">
      <c r="A27" s="230" t="s">
        <v>207</v>
      </c>
      <c r="B27" s="151"/>
      <c r="C27" s="146"/>
      <c r="D27" s="214" t="s">
        <v>208</v>
      </c>
      <c r="E27" s="151"/>
      <c r="F27" s="151"/>
      <c r="G27" s="287">
        <f>K19-E19</f>
        <v>0</v>
      </c>
      <c r="H27" s="288"/>
      <c r="I27" s="288"/>
      <c r="J27" s="288"/>
      <c r="K27" s="288"/>
      <c r="L27" s="289"/>
    </row>
    <row r="28" spans="1:119" ht="16.899999999999999" customHeight="1" x14ac:dyDescent="0.4">
      <c r="A28" s="152"/>
      <c r="B28" s="153"/>
      <c r="C28" s="166"/>
      <c r="D28" s="152"/>
      <c r="E28" s="153"/>
      <c r="F28" s="153"/>
      <c r="G28" s="201"/>
      <c r="H28" s="202"/>
      <c r="I28" s="202"/>
      <c r="J28" s="202"/>
      <c r="K28" s="202"/>
      <c r="L28" s="203"/>
    </row>
    <row r="29" spans="1:119" ht="16.899999999999999" customHeight="1" x14ac:dyDescent="0.4">
      <c r="A29" s="152"/>
      <c r="B29" s="153"/>
      <c r="C29" s="166"/>
      <c r="D29" s="152"/>
      <c r="E29" s="153"/>
      <c r="F29" s="153"/>
      <c r="G29" s="201"/>
      <c r="H29" s="202"/>
      <c r="I29" s="202"/>
      <c r="J29" s="202"/>
      <c r="K29" s="202"/>
      <c r="L29" s="203"/>
    </row>
    <row r="30" spans="1:119" ht="17.25" customHeight="1" thickBot="1" x14ac:dyDescent="0.45">
      <c r="A30" s="152"/>
      <c r="B30" s="153"/>
      <c r="C30" s="166"/>
      <c r="D30" s="147"/>
      <c r="E30" s="154"/>
      <c r="F30" s="154"/>
      <c r="G30" s="204"/>
      <c r="H30" s="205"/>
      <c r="I30" s="205"/>
      <c r="J30" s="205"/>
      <c r="K30" s="205"/>
      <c r="L30" s="206"/>
    </row>
    <row r="31" spans="1:119" ht="17.649999999999999" x14ac:dyDescent="0.5">
      <c r="A31" s="232"/>
      <c r="B31" s="154"/>
      <c r="C31" s="284" t="s">
        <v>209</v>
      </c>
      <c r="D31" s="285"/>
      <c r="E31" s="285"/>
      <c r="F31" s="285"/>
      <c r="G31" s="277"/>
      <c r="H31" s="286" t="s">
        <v>201</v>
      </c>
      <c r="I31" s="154"/>
      <c r="J31" s="154"/>
      <c r="K31" s="154"/>
      <c r="L31" s="277"/>
    </row>
    <row r="32" spans="1:119" x14ac:dyDescent="0.4">
      <c r="A32" s="113" t="s">
        <v>23</v>
      </c>
      <c r="B32" s="137"/>
      <c r="C32" s="28" t="s">
        <v>9</v>
      </c>
      <c r="D32" s="29" t="s">
        <v>11</v>
      </c>
      <c r="E32" s="30" t="s">
        <v>12</v>
      </c>
      <c r="F32" s="31" t="s">
        <v>210</v>
      </c>
      <c r="G32" s="32" t="s">
        <v>26</v>
      </c>
      <c r="H32" s="33" t="s">
        <v>187</v>
      </c>
      <c r="I32" s="34" t="s">
        <v>204</v>
      </c>
      <c r="J32" s="4"/>
      <c r="K32" s="4"/>
      <c r="L32" s="32" t="s">
        <v>26</v>
      </c>
    </row>
    <row r="33" spans="1:12" x14ac:dyDescent="0.4">
      <c r="A33" s="215" t="e">
        <f>#REF!</f>
        <v>#REF!</v>
      </c>
      <c r="B33" s="137"/>
      <c r="C33" s="35"/>
      <c r="D33" s="36"/>
      <c r="E33" s="37"/>
      <c r="F33" s="38"/>
      <c r="G33" s="39">
        <f t="shared" ref="G33:G63" si="0">C33*1900-F33*3000+D33*13000+E33*15000</f>
        <v>0</v>
      </c>
      <c r="H33" s="40"/>
      <c r="I33" s="41"/>
      <c r="J33" s="42"/>
      <c r="K33" s="42"/>
      <c r="L33" s="39">
        <f t="shared" ref="L33:L63" si="1">H33*16000-I33*1000</f>
        <v>0</v>
      </c>
    </row>
    <row r="34" spans="1:12" x14ac:dyDescent="0.4">
      <c r="A34" s="215" t="e">
        <f>#REF!</f>
        <v>#REF!</v>
      </c>
      <c r="B34" s="137"/>
      <c r="C34" s="35"/>
      <c r="D34" s="36"/>
      <c r="E34" s="37"/>
      <c r="F34" s="38"/>
      <c r="G34" s="39">
        <f t="shared" si="0"/>
        <v>0</v>
      </c>
      <c r="H34" s="40"/>
      <c r="I34" s="41"/>
      <c r="J34" s="42"/>
      <c r="K34" s="42"/>
      <c r="L34" s="39">
        <f t="shared" si="1"/>
        <v>0</v>
      </c>
    </row>
    <row r="35" spans="1:12" x14ac:dyDescent="0.4">
      <c r="A35" s="215" t="e">
        <f>#REF!</f>
        <v>#REF!</v>
      </c>
      <c r="B35" s="137"/>
      <c r="C35" s="35"/>
      <c r="D35" s="36"/>
      <c r="E35" s="37"/>
      <c r="F35" s="38"/>
      <c r="G35" s="39">
        <f t="shared" si="0"/>
        <v>0</v>
      </c>
      <c r="H35" s="40"/>
      <c r="I35" s="41"/>
      <c r="J35" s="42"/>
      <c r="K35" s="42"/>
      <c r="L35" s="39">
        <f t="shared" si="1"/>
        <v>0</v>
      </c>
    </row>
    <row r="36" spans="1:12" x14ac:dyDescent="0.4">
      <c r="A36" s="215" t="e">
        <f>#REF!</f>
        <v>#REF!</v>
      </c>
      <c r="B36" s="137"/>
      <c r="C36" s="35"/>
      <c r="D36" s="36"/>
      <c r="E36" s="37"/>
      <c r="F36" s="38"/>
      <c r="G36" s="39">
        <f t="shared" si="0"/>
        <v>0</v>
      </c>
      <c r="H36" s="40"/>
      <c r="I36" s="41"/>
      <c r="J36" s="42"/>
      <c r="K36" s="42"/>
      <c r="L36" s="39">
        <f t="shared" si="1"/>
        <v>0</v>
      </c>
    </row>
    <row r="37" spans="1:12" x14ac:dyDescent="0.4">
      <c r="A37" s="215" t="e">
        <f>#REF!</f>
        <v>#REF!</v>
      </c>
      <c r="B37" s="137"/>
      <c r="C37" s="35"/>
      <c r="D37" s="36"/>
      <c r="E37" s="37"/>
      <c r="F37" s="38"/>
      <c r="G37" s="39">
        <f t="shared" si="0"/>
        <v>0</v>
      </c>
      <c r="H37" s="40"/>
      <c r="I37" s="41"/>
      <c r="J37" s="42"/>
      <c r="K37" s="42"/>
      <c r="L37" s="39">
        <f t="shared" si="1"/>
        <v>0</v>
      </c>
    </row>
    <row r="38" spans="1:12" x14ac:dyDescent="0.4">
      <c r="A38" s="215" t="e">
        <f>#REF!</f>
        <v>#REF!</v>
      </c>
      <c r="B38" s="137"/>
      <c r="C38" s="35"/>
      <c r="D38" s="36"/>
      <c r="E38" s="37"/>
      <c r="F38" s="38"/>
      <c r="G38" s="39">
        <f t="shared" si="0"/>
        <v>0</v>
      </c>
      <c r="H38" s="40"/>
      <c r="I38" s="41"/>
      <c r="J38" s="42"/>
      <c r="K38" s="42"/>
      <c r="L38" s="39">
        <f t="shared" si="1"/>
        <v>0</v>
      </c>
    </row>
    <row r="39" spans="1:12" x14ac:dyDescent="0.4">
      <c r="A39" s="215" t="e">
        <f>#REF!</f>
        <v>#REF!</v>
      </c>
      <c r="B39" s="137"/>
      <c r="C39" s="35"/>
      <c r="D39" s="36"/>
      <c r="E39" s="37"/>
      <c r="F39" s="38"/>
      <c r="G39" s="39">
        <f t="shared" si="0"/>
        <v>0</v>
      </c>
      <c r="H39" s="40"/>
      <c r="I39" s="41"/>
      <c r="J39" s="42"/>
      <c r="K39" s="42"/>
      <c r="L39" s="39">
        <f t="shared" si="1"/>
        <v>0</v>
      </c>
    </row>
    <row r="40" spans="1:12" x14ac:dyDescent="0.4">
      <c r="A40" s="215" t="e">
        <f>#REF!</f>
        <v>#REF!</v>
      </c>
      <c r="B40" s="137"/>
      <c r="C40" s="35"/>
      <c r="D40" s="36"/>
      <c r="E40" s="37"/>
      <c r="F40" s="38"/>
      <c r="G40" s="39">
        <f t="shared" si="0"/>
        <v>0</v>
      </c>
      <c r="H40" s="40"/>
      <c r="I40" s="41"/>
      <c r="J40" s="42"/>
      <c r="K40" s="42"/>
      <c r="L40" s="39">
        <f t="shared" si="1"/>
        <v>0</v>
      </c>
    </row>
    <row r="41" spans="1:12" x14ac:dyDescent="0.4">
      <c r="A41" s="215" t="e">
        <f>#REF!</f>
        <v>#REF!</v>
      </c>
      <c r="B41" s="137"/>
      <c r="C41" s="35"/>
      <c r="D41" s="36"/>
      <c r="E41" s="37"/>
      <c r="F41" s="38"/>
      <c r="G41" s="39">
        <f t="shared" si="0"/>
        <v>0</v>
      </c>
      <c r="H41" s="40"/>
      <c r="I41" s="41"/>
      <c r="J41" s="42"/>
      <c r="K41" s="42"/>
      <c r="L41" s="39">
        <f t="shared" si="1"/>
        <v>0</v>
      </c>
    </row>
    <row r="42" spans="1:12" x14ac:dyDescent="0.4">
      <c r="A42" s="215" t="e">
        <f>#REF!</f>
        <v>#REF!</v>
      </c>
      <c r="B42" s="137"/>
      <c r="C42" s="35"/>
      <c r="D42" s="36"/>
      <c r="E42" s="37"/>
      <c r="F42" s="38"/>
      <c r="G42" s="39">
        <f t="shared" si="0"/>
        <v>0</v>
      </c>
      <c r="H42" s="40"/>
      <c r="I42" s="41"/>
      <c r="J42" s="42"/>
      <c r="K42" s="42"/>
      <c r="L42" s="39">
        <f t="shared" si="1"/>
        <v>0</v>
      </c>
    </row>
    <row r="43" spans="1:12" x14ac:dyDescent="0.4">
      <c r="A43" s="215" t="e">
        <f>#REF!</f>
        <v>#REF!</v>
      </c>
      <c r="B43" s="137"/>
      <c r="C43" s="35"/>
      <c r="D43" s="36"/>
      <c r="E43" s="37"/>
      <c r="F43" s="38"/>
      <c r="G43" s="39">
        <f t="shared" si="0"/>
        <v>0</v>
      </c>
      <c r="H43" s="40"/>
      <c r="I43" s="41"/>
      <c r="J43" s="42"/>
      <c r="K43" s="42"/>
      <c r="L43" s="39">
        <f t="shared" si="1"/>
        <v>0</v>
      </c>
    </row>
    <row r="44" spans="1:12" x14ac:dyDescent="0.4">
      <c r="A44" s="215" t="e">
        <f>#REF!</f>
        <v>#REF!</v>
      </c>
      <c r="B44" s="137"/>
      <c r="C44" s="35"/>
      <c r="D44" s="36"/>
      <c r="E44" s="37"/>
      <c r="F44" s="38"/>
      <c r="G44" s="39">
        <f t="shared" si="0"/>
        <v>0</v>
      </c>
      <c r="H44" s="40"/>
      <c r="I44" s="41"/>
      <c r="J44" s="42"/>
      <c r="K44" s="42"/>
      <c r="L44" s="39">
        <f t="shared" si="1"/>
        <v>0</v>
      </c>
    </row>
    <row r="45" spans="1:12" x14ac:dyDescent="0.4">
      <c r="A45" s="215" t="e">
        <f>#REF!</f>
        <v>#REF!</v>
      </c>
      <c r="B45" s="137"/>
      <c r="C45" s="35"/>
      <c r="D45" s="36"/>
      <c r="E45" s="37"/>
      <c r="F45" s="38"/>
      <c r="G45" s="39">
        <f t="shared" si="0"/>
        <v>0</v>
      </c>
      <c r="H45" s="40"/>
      <c r="I45" s="41"/>
      <c r="J45" s="42"/>
      <c r="K45" s="42"/>
      <c r="L45" s="39">
        <f t="shared" si="1"/>
        <v>0</v>
      </c>
    </row>
    <row r="46" spans="1:12" x14ac:dyDescent="0.4">
      <c r="A46" s="215" t="e">
        <f>#REF!</f>
        <v>#REF!</v>
      </c>
      <c r="B46" s="137"/>
      <c r="C46" s="35"/>
      <c r="D46" s="36"/>
      <c r="E46" s="37"/>
      <c r="F46" s="38"/>
      <c r="G46" s="39">
        <f t="shared" si="0"/>
        <v>0</v>
      </c>
      <c r="H46" s="40"/>
      <c r="I46" s="41"/>
      <c r="J46" s="42"/>
      <c r="K46" s="42"/>
      <c r="L46" s="39">
        <f t="shared" si="1"/>
        <v>0</v>
      </c>
    </row>
    <row r="47" spans="1:12" x14ac:dyDescent="0.4">
      <c r="A47" s="215" t="e">
        <f>#REF!</f>
        <v>#REF!</v>
      </c>
      <c r="B47" s="137"/>
      <c r="C47" s="35"/>
      <c r="D47" s="36"/>
      <c r="E47" s="37"/>
      <c r="F47" s="38"/>
      <c r="G47" s="39">
        <f t="shared" si="0"/>
        <v>0</v>
      </c>
      <c r="H47" s="40"/>
      <c r="I47" s="41"/>
      <c r="J47" s="42"/>
      <c r="K47" s="42"/>
      <c r="L47" s="39">
        <f t="shared" si="1"/>
        <v>0</v>
      </c>
    </row>
    <row r="48" spans="1:12" x14ac:dyDescent="0.4">
      <c r="A48" s="215" t="e">
        <f>#REF!</f>
        <v>#REF!</v>
      </c>
      <c r="B48" s="137"/>
      <c r="C48" s="35"/>
      <c r="D48" s="36"/>
      <c r="E48" s="37"/>
      <c r="F48" s="38"/>
      <c r="G48" s="39">
        <f t="shared" si="0"/>
        <v>0</v>
      </c>
      <c r="H48" s="40"/>
      <c r="I48" s="41"/>
      <c r="J48" s="42"/>
      <c r="K48" s="42"/>
      <c r="L48" s="39">
        <f t="shared" si="1"/>
        <v>0</v>
      </c>
    </row>
    <row r="49" spans="1:12" x14ac:dyDescent="0.4">
      <c r="A49" s="215" t="e">
        <f>#REF!</f>
        <v>#REF!</v>
      </c>
      <c r="B49" s="137"/>
      <c r="C49" s="35"/>
      <c r="D49" s="36"/>
      <c r="E49" s="37"/>
      <c r="F49" s="38"/>
      <c r="G49" s="39">
        <f t="shared" si="0"/>
        <v>0</v>
      </c>
      <c r="H49" s="40"/>
      <c r="I49" s="41"/>
      <c r="J49" s="42"/>
      <c r="K49" s="42"/>
      <c r="L49" s="39">
        <f t="shared" si="1"/>
        <v>0</v>
      </c>
    </row>
    <row r="50" spans="1:12" x14ac:dyDescent="0.4">
      <c r="A50" s="215" t="e">
        <f>#REF!</f>
        <v>#REF!</v>
      </c>
      <c r="B50" s="137"/>
      <c r="C50" s="35"/>
      <c r="D50" s="36"/>
      <c r="E50" s="37"/>
      <c r="F50" s="38"/>
      <c r="G50" s="39">
        <f t="shared" si="0"/>
        <v>0</v>
      </c>
      <c r="H50" s="40"/>
      <c r="I50" s="41"/>
      <c r="J50" s="42"/>
      <c r="K50" s="42"/>
      <c r="L50" s="39">
        <f t="shared" si="1"/>
        <v>0</v>
      </c>
    </row>
    <row r="51" spans="1:12" x14ac:dyDescent="0.4">
      <c r="A51" s="215" t="e">
        <f>#REF!</f>
        <v>#REF!</v>
      </c>
      <c r="B51" s="137"/>
      <c r="C51" s="35"/>
      <c r="D51" s="36"/>
      <c r="E51" s="37"/>
      <c r="F51" s="38"/>
      <c r="G51" s="39">
        <f t="shared" si="0"/>
        <v>0</v>
      </c>
      <c r="H51" s="40"/>
      <c r="I51" s="41"/>
      <c r="J51" s="42"/>
      <c r="K51" s="42"/>
      <c r="L51" s="39">
        <f t="shared" si="1"/>
        <v>0</v>
      </c>
    </row>
    <row r="52" spans="1:12" x14ac:dyDescent="0.4">
      <c r="A52" s="215" t="e">
        <f>#REF!</f>
        <v>#REF!</v>
      </c>
      <c r="B52" s="137"/>
      <c r="C52" s="35"/>
      <c r="D52" s="36"/>
      <c r="E52" s="37"/>
      <c r="F52" s="38"/>
      <c r="G52" s="39">
        <f t="shared" si="0"/>
        <v>0</v>
      </c>
      <c r="H52" s="40"/>
      <c r="I52" s="41"/>
      <c r="J52" s="42"/>
      <c r="K52" s="42"/>
      <c r="L52" s="39">
        <f t="shared" si="1"/>
        <v>0</v>
      </c>
    </row>
    <row r="53" spans="1:12" x14ac:dyDescent="0.4">
      <c r="A53" s="215" t="e">
        <f>#REF!</f>
        <v>#REF!</v>
      </c>
      <c r="B53" s="137"/>
      <c r="C53" s="35"/>
      <c r="D53" s="36"/>
      <c r="E53" s="37"/>
      <c r="F53" s="38"/>
      <c r="G53" s="39">
        <f t="shared" si="0"/>
        <v>0</v>
      </c>
      <c r="H53" s="40"/>
      <c r="I53" s="41"/>
      <c r="J53" s="42"/>
      <c r="K53" s="42"/>
      <c r="L53" s="39">
        <f t="shared" si="1"/>
        <v>0</v>
      </c>
    </row>
    <row r="54" spans="1:12" x14ac:dyDescent="0.4">
      <c r="A54" s="215" t="e">
        <f>#REF!</f>
        <v>#REF!</v>
      </c>
      <c r="B54" s="137"/>
      <c r="C54" s="35"/>
      <c r="D54" s="36"/>
      <c r="E54" s="37"/>
      <c r="F54" s="38"/>
      <c r="G54" s="39">
        <f t="shared" si="0"/>
        <v>0</v>
      </c>
      <c r="H54" s="40"/>
      <c r="I54" s="41"/>
      <c r="J54" s="42"/>
      <c r="K54" s="42"/>
      <c r="L54" s="39">
        <f t="shared" si="1"/>
        <v>0</v>
      </c>
    </row>
    <row r="55" spans="1:12" x14ac:dyDescent="0.4">
      <c r="A55" s="215" t="e">
        <f>#REF!</f>
        <v>#REF!</v>
      </c>
      <c r="B55" s="137"/>
      <c r="C55" s="35"/>
      <c r="D55" s="36"/>
      <c r="E55" s="37"/>
      <c r="F55" s="38"/>
      <c r="G55" s="39">
        <f t="shared" si="0"/>
        <v>0</v>
      </c>
      <c r="H55" s="40"/>
      <c r="I55" s="41"/>
      <c r="J55" s="42"/>
      <c r="K55" s="42"/>
      <c r="L55" s="39">
        <f t="shared" si="1"/>
        <v>0</v>
      </c>
    </row>
    <row r="56" spans="1:12" x14ac:dyDescent="0.4">
      <c r="A56" s="215" t="e">
        <f>#REF!</f>
        <v>#REF!</v>
      </c>
      <c r="B56" s="137"/>
      <c r="C56" s="35"/>
      <c r="D56" s="36"/>
      <c r="E56" s="37"/>
      <c r="F56" s="38"/>
      <c r="G56" s="39">
        <f t="shared" si="0"/>
        <v>0</v>
      </c>
      <c r="H56" s="40"/>
      <c r="I56" s="41"/>
      <c r="J56" s="42"/>
      <c r="K56" s="42"/>
      <c r="L56" s="39">
        <f t="shared" si="1"/>
        <v>0</v>
      </c>
    </row>
    <row r="57" spans="1:12" x14ac:dyDescent="0.4">
      <c r="A57" s="215" t="e">
        <f>#REF!</f>
        <v>#REF!</v>
      </c>
      <c r="B57" s="137"/>
      <c r="C57" s="35"/>
      <c r="D57" s="36"/>
      <c r="E57" s="37"/>
      <c r="F57" s="38"/>
      <c r="G57" s="39">
        <f t="shared" si="0"/>
        <v>0</v>
      </c>
      <c r="H57" s="40"/>
      <c r="I57" s="41"/>
      <c r="J57" s="42"/>
      <c r="K57" s="42"/>
      <c r="L57" s="39">
        <f t="shared" si="1"/>
        <v>0</v>
      </c>
    </row>
    <row r="58" spans="1:12" x14ac:dyDescent="0.4">
      <c r="A58" s="215" t="e">
        <f>#REF!</f>
        <v>#REF!</v>
      </c>
      <c r="B58" s="137"/>
      <c r="C58" s="35"/>
      <c r="D58" s="36"/>
      <c r="E58" s="37"/>
      <c r="F58" s="38"/>
      <c r="G58" s="39">
        <f t="shared" si="0"/>
        <v>0</v>
      </c>
      <c r="H58" s="40"/>
      <c r="I58" s="41"/>
      <c r="J58" s="42"/>
      <c r="K58" s="42"/>
      <c r="L58" s="39">
        <f t="shared" si="1"/>
        <v>0</v>
      </c>
    </row>
    <row r="59" spans="1:12" x14ac:dyDescent="0.4">
      <c r="A59" s="215" t="e">
        <f>#REF!</f>
        <v>#REF!</v>
      </c>
      <c r="B59" s="137"/>
      <c r="C59" s="35"/>
      <c r="D59" s="36"/>
      <c r="E59" s="37"/>
      <c r="F59" s="38"/>
      <c r="G59" s="39">
        <f t="shared" si="0"/>
        <v>0</v>
      </c>
      <c r="H59" s="40"/>
      <c r="I59" s="41"/>
      <c r="J59" s="42"/>
      <c r="K59" s="42"/>
      <c r="L59" s="39">
        <f t="shared" si="1"/>
        <v>0</v>
      </c>
    </row>
    <row r="60" spans="1:12" x14ac:dyDescent="0.4">
      <c r="A60" s="215" t="e">
        <f>#REF!</f>
        <v>#REF!</v>
      </c>
      <c r="B60" s="137"/>
      <c r="C60" s="35"/>
      <c r="D60" s="36"/>
      <c r="E60" s="37"/>
      <c r="F60" s="38"/>
      <c r="G60" s="39">
        <f t="shared" si="0"/>
        <v>0</v>
      </c>
      <c r="H60" s="40"/>
      <c r="I60" s="41"/>
      <c r="J60" s="42"/>
      <c r="K60" s="42"/>
      <c r="L60" s="39">
        <f t="shared" si="1"/>
        <v>0</v>
      </c>
    </row>
    <row r="61" spans="1:12" x14ac:dyDescent="0.4">
      <c r="A61" s="215" t="e">
        <f>#REF!</f>
        <v>#REF!</v>
      </c>
      <c r="B61" s="137"/>
      <c r="C61" s="35"/>
      <c r="D61" s="36"/>
      <c r="E61" s="37"/>
      <c r="F61" s="38"/>
      <c r="G61" s="39">
        <f t="shared" si="0"/>
        <v>0</v>
      </c>
      <c r="H61" s="40"/>
      <c r="I61" s="41"/>
      <c r="J61" s="42"/>
      <c r="K61" s="42"/>
      <c r="L61" s="39">
        <f t="shared" si="1"/>
        <v>0</v>
      </c>
    </row>
    <row r="62" spans="1:12" x14ac:dyDescent="0.4">
      <c r="A62" s="215" t="e">
        <f>#REF!</f>
        <v>#REF!</v>
      </c>
      <c r="B62" s="137"/>
      <c r="C62" s="35"/>
      <c r="D62" s="36"/>
      <c r="E62" s="37"/>
      <c r="F62" s="38"/>
      <c r="G62" s="39">
        <f t="shared" si="0"/>
        <v>0</v>
      </c>
      <c r="H62" s="40"/>
      <c r="I62" s="41"/>
      <c r="J62" s="42"/>
      <c r="K62" s="42"/>
      <c r="L62" s="39">
        <f t="shared" si="1"/>
        <v>0</v>
      </c>
    </row>
    <row r="63" spans="1:12" x14ac:dyDescent="0.4">
      <c r="A63" s="215" t="e">
        <f>#REF!</f>
        <v>#REF!</v>
      </c>
      <c r="B63" s="137"/>
      <c r="C63" s="35"/>
      <c r="D63" s="36"/>
      <c r="E63" s="37"/>
      <c r="F63" s="38"/>
      <c r="G63" s="39">
        <f t="shared" si="0"/>
        <v>0</v>
      </c>
      <c r="H63" s="40"/>
      <c r="I63" s="41"/>
      <c r="J63" s="42"/>
      <c r="K63" s="42"/>
      <c r="L63" s="39">
        <f t="shared" si="1"/>
        <v>0</v>
      </c>
    </row>
    <row r="64" spans="1:12" ht="17.25" customHeight="1" x14ac:dyDescent="0.4">
      <c r="A64" s="234" t="s">
        <v>26</v>
      </c>
      <c r="B64" s="115"/>
      <c r="C64" s="82">
        <f t="shared" ref="C64:L64" si="2">SUM(C33:C63)</f>
        <v>0</v>
      </c>
      <c r="D64" s="83">
        <f t="shared" si="2"/>
        <v>0</v>
      </c>
      <c r="E64" s="84">
        <f t="shared" si="2"/>
        <v>0</v>
      </c>
      <c r="F64" s="85">
        <f t="shared" si="2"/>
        <v>0</v>
      </c>
      <c r="G64" s="86">
        <f t="shared" si="2"/>
        <v>0</v>
      </c>
      <c r="H64" s="87">
        <f t="shared" si="2"/>
        <v>0</v>
      </c>
      <c r="I64" s="88">
        <f t="shared" si="2"/>
        <v>0</v>
      </c>
      <c r="J64" s="89">
        <f t="shared" si="2"/>
        <v>0</v>
      </c>
      <c r="K64" s="89">
        <f t="shared" si="2"/>
        <v>0</v>
      </c>
      <c r="L64" s="99">
        <f t="shared" si="2"/>
        <v>0</v>
      </c>
    </row>
    <row r="65" spans="1:12" x14ac:dyDescent="0.4">
      <c r="A65" s="227" t="s">
        <v>27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5"/>
    </row>
    <row r="66" spans="1:12" x14ac:dyDescent="0.4">
      <c r="A66" s="126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8"/>
    </row>
    <row r="67" spans="1:12" x14ac:dyDescent="0.4">
      <c r="A67" s="113" t="s">
        <v>28</v>
      </c>
      <c r="B67" s="114"/>
      <c r="C67" s="115"/>
      <c r="D67" s="113"/>
      <c r="E67" s="114"/>
      <c r="F67" s="114"/>
      <c r="G67" s="114"/>
      <c r="H67" s="115"/>
      <c r="I67" s="113"/>
      <c r="J67" s="114"/>
      <c r="K67" s="114"/>
      <c r="L67" s="115"/>
    </row>
    <row r="68" spans="1:12" x14ac:dyDescent="0.4">
      <c r="A68" s="116"/>
      <c r="B68" s="117"/>
      <c r="C68" s="118"/>
      <c r="D68" s="116"/>
      <c r="E68" s="117"/>
      <c r="F68" s="117"/>
      <c r="G68" s="117"/>
      <c r="H68" s="118"/>
      <c r="I68" s="116"/>
      <c r="J68" s="117"/>
      <c r="K68" s="117"/>
      <c r="L68" s="118"/>
    </row>
    <row r="69" spans="1:12" x14ac:dyDescent="0.4">
      <c r="A69" s="113" t="s">
        <v>30</v>
      </c>
      <c r="B69" s="114"/>
      <c r="C69" s="115"/>
      <c r="D69" s="113"/>
      <c r="E69" s="114"/>
      <c r="F69" s="114"/>
      <c r="G69" s="114"/>
      <c r="H69" s="115"/>
      <c r="I69" s="113"/>
      <c r="J69" s="114"/>
      <c r="K69" s="114"/>
      <c r="L69" s="115"/>
    </row>
    <row r="70" spans="1:12" x14ac:dyDescent="0.4">
      <c r="A70" s="116"/>
      <c r="B70" s="117"/>
      <c r="C70" s="118"/>
      <c r="D70" s="116"/>
      <c r="E70" s="117"/>
      <c r="F70" s="117"/>
      <c r="G70" s="117"/>
      <c r="H70" s="118"/>
      <c r="I70" s="116"/>
      <c r="J70" s="117"/>
      <c r="K70" s="117"/>
      <c r="L70" s="118"/>
    </row>
  </sheetData>
  <mergeCells count="94">
    <mergeCell ref="A7:D8"/>
    <mergeCell ref="H31:L31"/>
    <mergeCell ref="A61:B61"/>
    <mergeCell ref="G19:J22"/>
    <mergeCell ref="A13:B14"/>
    <mergeCell ref="K13:L14"/>
    <mergeCell ref="G27:L30"/>
    <mergeCell ref="A46:B46"/>
    <mergeCell ref="A37:B37"/>
    <mergeCell ref="C17:C18"/>
    <mergeCell ref="E17:F18"/>
    <mergeCell ref="A51:B51"/>
    <mergeCell ref="K17:L18"/>
    <mergeCell ref="A54:B54"/>
    <mergeCell ref="A41:B41"/>
    <mergeCell ref="A55:B55"/>
    <mergeCell ref="A58:B58"/>
    <mergeCell ref="D69:H70"/>
    <mergeCell ref="A33:B33"/>
    <mergeCell ref="A42:B42"/>
    <mergeCell ref="A53:B53"/>
    <mergeCell ref="A35:B35"/>
    <mergeCell ref="A62:B62"/>
    <mergeCell ref="A39:B39"/>
    <mergeCell ref="A48:B48"/>
    <mergeCell ref="A59:B59"/>
    <mergeCell ref="A45:B45"/>
    <mergeCell ref="D67:H68"/>
    <mergeCell ref="A56:B56"/>
    <mergeCell ref="A64:B64"/>
    <mergeCell ref="A52:B52"/>
    <mergeCell ref="G15:H16"/>
    <mergeCell ref="D17:D18"/>
    <mergeCell ref="D11:D12"/>
    <mergeCell ref="C31:G31"/>
    <mergeCell ref="G9:H10"/>
    <mergeCell ref="A27:C30"/>
    <mergeCell ref="C9:C10"/>
    <mergeCell ref="C11:C12"/>
    <mergeCell ref="A9:B10"/>
    <mergeCell ref="I67:L68"/>
    <mergeCell ref="A15:B16"/>
    <mergeCell ref="A57:B57"/>
    <mergeCell ref="D27:F30"/>
    <mergeCell ref="A32:B32"/>
    <mergeCell ref="A47:B47"/>
    <mergeCell ref="A44:B44"/>
    <mergeCell ref="A31:B31"/>
    <mergeCell ref="A63:B63"/>
    <mergeCell ref="A23:L26"/>
    <mergeCell ref="A34:B34"/>
    <mergeCell ref="A49:B49"/>
    <mergeCell ref="A36:B36"/>
    <mergeCell ref="I15:L16"/>
    <mergeCell ref="E19:F22"/>
    <mergeCell ref="E15:F16"/>
    <mergeCell ref="K9:L10"/>
    <mergeCell ref="A11:B12"/>
    <mergeCell ref="I11:I12"/>
    <mergeCell ref="E9:F10"/>
    <mergeCell ref="E11:F12"/>
    <mergeCell ref="G11:H12"/>
    <mergeCell ref="I69:L70"/>
    <mergeCell ref="A65:L66"/>
    <mergeCell ref="A19:D22"/>
    <mergeCell ref="E13:F14"/>
    <mergeCell ref="G13:H14"/>
    <mergeCell ref="A38:B38"/>
    <mergeCell ref="A43:B43"/>
    <mergeCell ref="A40:B40"/>
    <mergeCell ref="J13:J14"/>
    <mergeCell ref="A60:B60"/>
    <mergeCell ref="A17:B18"/>
    <mergeCell ref="A67:C68"/>
    <mergeCell ref="K19:L22"/>
    <mergeCell ref="A69:C70"/>
    <mergeCell ref="A50:B50"/>
    <mergeCell ref="I13:I14"/>
    <mergeCell ref="A3:L4"/>
    <mergeCell ref="C13:C14"/>
    <mergeCell ref="J17:J18"/>
    <mergeCell ref="A5:L6"/>
    <mergeCell ref="C15:C16"/>
    <mergeCell ref="K11:L12"/>
    <mergeCell ref="E7:H8"/>
    <mergeCell ref="D15:D16"/>
    <mergeCell ref="D9:D10"/>
    <mergeCell ref="J9:J10"/>
    <mergeCell ref="I7:L8"/>
    <mergeCell ref="J11:J12"/>
    <mergeCell ref="G17:H18"/>
    <mergeCell ref="I9:I10"/>
    <mergeCell ref="D13:D14"/>
    <mergeCell ref="I17:I18"/>
  </mergeCells>
  <phoneticPr fontId="1" type="noConversion"/>
  <pageMargins left="0.7" right="0.7" top="0.75" bottom="0.75" header="0.3" footer="0.3"/>
  <pageSetup paperSize="9" scale="7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70</vt:i4>
      </vt:variant>
    </vt:vector>
  </HeadingPairs>
  <TitlesOfParts>
    <vt:vector size="70" baseType="lpstr">
      <vt:lpstr>지엠식자재마트(지산DC)</vt:lpstr>
      <vt:lpstr>HS식자재도매유통</vt:lpstr>
      <vt:lpstr>옥계빅</vt:lpstr>
      <vt:lpstr>상모빅</vt:lpstr>
      <vt:lpstr>플래쉬</vt:lpstr>
      <vt:lpstr>고향가마솥</vt:lpstr>
      <vt:lpstr>명희네</vt:lpstr>
      <vt:lpstr>더킹마트</vt:lpstr>
      <vt:lpstr>형곡우리마트</vt:lpstr>
      <vt:lpstr>비산DC마트</vt:lpstr>
      <vt:lpstr>비산킹마트</vt:lpstr>
      <vt:lpstr>광천킹마트</vt:lpstr>
      <vt:lpstr>팜식자재마트</vt:lpstr>
      <vt:lpstr>구포ss마트</vt:lpstr>
      <vt:lpstr>송정ss마트</vt:lpstr>
      <vt:lpstr>VIP마트</vt:lpstr>
      <vt:lpstr>내고향식자재마트</vt:lpstr>
      <vt:lpstr>문성팜식자재마트</vt:lpstr>
      <vt:lpstr>참마트</vt:lpstr>
      <vt:lpstr>왕산마트</vt:lpstr>
      <vt:lpstr>형곡드림마트</vt:lpstr>
      <vt:lpstr>문성드림마트</vt:lpstr>
      <vt:lpstr>임은DC마트</vt:lpstr>
      <vt:lpstr>형곡DC마트</vt:lpstr>
      <vt:lpstr>북삼우리푸드</vt:lpstr>
      <vt:lpstr>아름식품</vt:lpstr>
      <vt:lpstr>고놈의불향쭈꾸미</vt:lpstr>
      <vt:lpstr>올레길</vt:lpstr>
      <vt:lpstr>다온약선톳밥</vt:lpstr>
      <vt:lpstr>남통대구왕뽈찜</vt:lpstr>
      <vt:lpstr>깜상알밥국시</vt:lpstr>
      <vt:lpstr>상모오호오쭈꾸미</vt:lpstr>
      <vt:lpstr>원골</vt:lpstr>
      <vt:lpstr>불구이돈</vt:lpstr>
      <vt:lpstr>형곡종가숯불갈비</vt:lpstr>
      <vt:lpstr>상모뒷고기</vt:lpstr>
      <vt:lpstr>상모용두동쭈꾸미</vt:lpstr>
      <vt:lpstr>형곡용두동쭈꾸미</vt:lpstr>
      <vt:lpstr>이가네족발</vt:lpstr>
      <vt:lpstr>뜨끈이</vt:lpstr>
      <vt:lpstr>황태덕장</vt:lpstr>
      <vt:lpstr>양평</vt:lpstr>
      <vt:lpstr>원조가오리</vt:lpstr>
      <vt:lpstr>신촌</vt:lpstr>
      <vt:lpstr>원웰빙마트</vt:lpstr>
      <vt:lpstr>아포킹마트</vt:lpstr>
      <vt:lpstr>아포팜</vt:lpstr>
      <vt:lpstr>지성이해물찜</vt:lpstr>
      <vt:lpstr>김천대구왕뽈찜</vt:lpstr>
      <vt:lpstr>신음대구왕뽈찜</vt:lpstr>
      <vt:lpstr>동해수산횟집</vt:lpstr>
      <vt:lpstr>김천DC마트</vt:lpstr>
      <vt:lpstr>김천와촌</vt:lpstr>
      <vt:lpstr>뻘떡낙지</vt:lpstr>
      <vt:lpstr>수영</vt:lpstr>
      <vt:lpstr>오거리</vt:lpstr>
      <vt:lpstr>합동식품</vt:lpstr>
      <vt:lpstr>하나로</vt:lpstr>
      <vt:lpstr>축협하나로</vt:lpstr>
      <vt:lpstr>아포농협</vt:lpstr>
      <vt:lpstr>도레미</vt:lpstr>
      <vt:lpstr>로타리</vt:lpstr>
      <vt:lpstr>아포상회</vt:lpstr>
      <vt:lpstr>팔도콩나물국밥</vt:lpstr>
      <vt:lpstr>양지</vt:lpstr>
      <vt:lpstr>다혜원</vt:lpstr>
      <vt:lpstr>원호노점</vt:lpstr>
      <vt:lpstr>아포아구찜</vt:lpstr>
      <vt:lpstr>선산식자재마트</vt:lpstr>
      <vt:lpstr>팔공식품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박찬현</dc:creator>
  <cp:lastModifiedBy>찬현 박</cp:lastModifiedBy>
  <cp:lastPrinted>2026-08-06T02:44:42Z</cp:lastPrinted>
  <dcterms:created xsi:type="dcterms:W3CDTF">2015-06-05T18:19:34Z</dcterms:created>
  <dcterms:modified xsi:type="dcterms:W3CDTF">2026-08-06T03:36:32Z</dcterms:modified>
</cp:coreProperties>
</file>