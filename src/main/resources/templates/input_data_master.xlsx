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ork\factory_ledger_dev\input\"/>
    </mc:Choice>
  </mc:AlternateContent>
  <xr:revisionPtr revIDLastSave="0" documentId="13_ncr:1_{F5F3875B-EF11-47DB-A48D-437F3563742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260701" sheetId="2" r:id="rId1"/>
    <sheet name="20260702" sheetId="1" r:id="rId2"/>
    <sheet name="20260703" sheetId="3" r:id="rId3"/>
    <sheet name="20260704" sheetId="4" r:id="rId4"/>
    <sheet name="20260705" sheetId="5" r:id="rId5"/>
    <sheet name="20260706" sheetId="6" r:id="rId6"/>
    <sheet name="20260707" sheetId="7" r:id="rId7"/>
    <sheet name="20260708" sheetId="8" r:id="rId8"/>
    <sheet name="20260709" sheetId="9" r:id="rId9"/>
    <sheet name="20260710" sheetId="10" r:id="rId10"/>
    <sheet name="20260711" sheetId="11" r:id="rId11"/>
    <sheet name="20260712" sheetId="12" r:id="rId12"/>
    <sheet name="20260713" sheetId="13" r:id="rId13"/>
    <sheet name="20260714" sheetId="14" r:id="rId14"/>
    <sheet name="20260715" sheetId="15" r:id="rId15"/>
    <sheet name="20260716" sheetId="16" r:id="rId16"/>
    <sheet name="20260717" sheetId="17" r:id="rId17"/>
    <sheet name="20260718" sheetId="18" r:id="rId18"/>
    <sheet name="20260719" sheetId="19" r:id="rId19"/>
    <sheet name="20260720" sheetId="20" r:id="rId20"/>
    <sheet name="20260721" sheetId="21" r:id="rId21"/>
    <sheet name="20260722" sheetId="22" r:id="rId22"/>
    <sheet name="20260723" sheetId="23" r:id="rId23"/>
    <sheet name="20260724" sheetId="24" r:id="rId24"/>
    <sheet name="20260725" sheetId="25" r:id="rId25"/>
    <sheet name="20260726" sheetId="26" r:id="rId26"/>
    <sheet name="20260727" sheetId="27" r:id="rId27"/>
    <sheet name="20260728" sheetId="28" r:id="rId28"/>
    <sheet name="20260729" sheetId="29" r:id="rId29"/>
    <sheet name="20260730" sheetId="30" r:id="rId30"/>
    <sheet name="20260731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0" i="31" l="1"/>
  <c r="A80" i="31"/>
  <c r="B79" i="31"/>
  <c r="A79" i="31"/>
  <c r="B78" i="31"/>
  <c r="A78" i="31"/>
  <c r="B77" i="31"/>
  <c r="A77" i="31"/>
  <c r="B76" i="31"/>
  <c r="A76" i="31"/>
  <c r="B75" i="31"/>
  <c r="A75" i="31"/>
  <c r="B74" i="31"/>
  <c r="A74" i="31"/>
  <c r="B73" i="31"/>
  <c r="A73" i="31"/>
  <c r="B72" i="31"/>
  <c r="A72" i="31"/>
  <c r="B71" i="31"/>
  <c r="A71" i="31"/>
  <c r="B70" i="31"/>
  <c r="A70" i="31"/>
  <c r="B69" i="31"/>
  <c r="A69" i="31"/>
  <c r="B68" i="31"/>
  <c r="A68" i="31"/>
  <c r="B67" i="31"/>
  <c r="A67" i="31"/>
  <c r="B66" i="31"/>
  <c r="A66" i="31"/>
  <c r="B65" i="31"/>
  <c r="A65" i="31"/>
  <c r="B64" i="31"/>
  <c r="A64" i="31"/>
  <c r="B63" i="31"/>
  <c r="A63" i="31"/>
  <c r="B62" i="31"/>
  <c r="A62" i="31"/>
  <c r="B61" i="31"/>
  <c r="A61" i="31"/>
  <c r="B60" i="31"/>
  <c r="A60" i="31"/>
  <c r="B59" i="31"/>
  <c r="A59" i="31"/>
  <c r="B58" i="31"/>
  <c r="A58" i="31"/>
  <c r="B57" i="31"/>
  <c r="A57" i="31"/>
  <c r="B56" i="31"/>
  <c r="A56" i="31"/>
  <c r="B55" i="31"/>
  <c r="A55" i="31"/>
  <c r="B54" i="31"/>
  <c r="A54" i="31"/>
  <c r="B53" i="31"/>
  <c r="A53" i="31"/>
  <c r="B52" i="31"/>
  <c r="A52" i="31"/>
  <c r="B51" i="31"/>
  <c r="A51" i="31"/>
  <c r="B50" i="31"/>
  <c r="A50" i="31"/>
  <c r="B49" i="31"/>
  <c r="A49" i="31"/>
  <c r="B48" i="31"/>
  <c r="A48" i="31"/>
  <c r="B47" i="31"/>
  <c r="A47" i="31"/>
  <c r="B46" i="31"/>
  <c r="A46" i="31"/>
  <c r="B45" i="31"/>
  <c r="A45" i="31"/>
  <c r="B44" i="31"/>
  <c r="A44" i="31"/>
  <c r="B43" i="31"/>
  <c r="A43" i="31"/>
  <c r="B42" i="31"/>
  <c r="A42" i="31"/>
  <c r="B41" i="31"/>
  <c r="A41" i="31"/>
  <c r="B40" i="31"/>
  <c r="A40" i="31"/>
  <c r="B39" i="31"/>
  <c r="A39" i="31"/>
  <c r="B38" i="31"/>
  <c r="A38" i="31"/>
  <c r="B37" i="31"/>
  <c r="A37" i="31"/>
  <c r="B36" i="31"/>
  <c r="A36" i="31"/>
  <c r="B35" i="31"/>
  <c r="A35" i="31"/>
  <c r="B34" i="31"/>
  <c r="A34" i="31"/>
  <c r="B33" i="31"/>
  <c r="A33" i="31"/>
  <c r="B32" i="31"/>
  <c r="A32" i="31"/>
  <c r="B31" i="31"/>
  <c r="A31" i="31"/>
  <c r="B30" i="31"/>
  <c r="A30" i="31"/>
  <c r="B29" i="31"/>
  <c r="A29" i="31"/>
  <c r="B28" i="31"/>
  <c r="A28" i="31"/>
  <c r="B27" i="31"/>
  <c r="A27" i="31"/>
  <c r="B26" i="31"/>
  <c r="A26" i="31"/>
  <c r="B25" i="31"/>
  <c r="A25" i="31"/>
  <c r="B24" i="31"/>
  <c r="A24" i="31"/>
  <c r="B23" i="31"/>
  <c r="A23" i="31"/>
  <c r="B22" i="31"/>
  <c r="A22" i="31"/>
  <c r="B21" i="31"/>
  <c r="A21" i="31"/>
  <c r="B20" i="31"/>
  <c r="A20" i="31"/>
  <c r="B19" i="31"/>
  <c r="A19" i="31"/>
  <c r="B18" i="31"/>
  <c r="A18" i="31"/>
  <c r="B17" i="31"/>
  <c r="A17" i="31"/>
  <c r="B16" i="31"/>
  <c r="A16" i="31"/>
  <c r="B15" i="31"/>
  <c r="A15" i="31"/>
  <c r="B14" i="31"/>
  <c r="A14" i="31"/>
  <c r="B13" i="31"/>
  <c r="A13" i="31"/>
  <c r="B12" i="31"/>
  <c r="A12" i="31"/>
  <c r="B11" i="31"/>
  <c r="A11" i="31"/>
  <c r="B10" i="31"/>
  <c r="A10" i="31"/>
  <c r="B9" i="31"/>
  <c r="A9" i="31"/>
  <c r="B8" i="31"/>
  <c r="A8" i="31"/>
  <c r="B7" i="31"/>
  <c r="A7" i="31"/>
  <c r="B6" i="31"/>
  <c r="A6" i="31"/>
  <c r="A5" i="31"/>
  <c r="B80" i="30"/>
  <c r="A80" i="30" s="1"/>
  <c r="B79" i="30"/>
  <c r="A79" i="30" s="1"/>
  <c r="B78" i="30"/>
  <c r="A78" i="30" s="1"/>
  <c r="B77" i="30"/>
  <c r="A77" i="30"/>
  <c r="B76" i="30"/>
  <c r="A76" i="30" s="1"/>
  <c r="B75" i="30"/>
  <c r="A75" i="30" s="1"/>
  <c r="B74" i="30"/>
  <c r="A74" i="30" s="1"/>
  <c r="B73" i="30"/>
  <c r="A73" i="30" s="1"/>
  <c r="B72" i="30"/>
  <c r="A72" i="30" s="1"/>
  <c r="B71" i="30"/>
  <c r="A71" i="30" s="1"/>
  <c r="B70" i="30"/>
  <c r="A70" i="30" s="1"/>
  <c r="B69" i="30"/>
  <c r="A69" i="30"/>
  <c r="B68" i="30"/>
  <c r="A68" i="30" s="1"/>
  <c r="B67" i="30"/>
  <c r="A67" i="30" s="1"/>
  <c r="B66" i="30"/>
  <c r="A66" i="30" s="1"/>
  <c r="B65" i="30"/>
  <c r="A65" i="30"/>
  <c r="B64" i="30"/>
  <c r="A64" i="30" s="1"/>
  <c r="B63" i="30"/>
  <c r="A63" i="30" s="1"/>
  <c r="B62" i="30"/>
  <c r="A62" i="30" s="1"/>
  <c r="B61" i="30"/>
  <c r="A61" i="30"/>
  <c r="B60" i="30"/>
  <c r="A60" i="30" s="1"/>
  <c r="B59" i="30"/>
  <c r="A59" i="30" s="1"/>
  <c r="B58" i="30"/>
  <c r="A58" i="30" s="1"/>
  <c r="B57" i="30"/>
  <c r="A57" i="30"/>
  <c r="B56" i="30"/>
  <c r="A56" i="30" s="1"/>
  <c r="B55" i="30"/>
  <c r="A55" i="30" s="1"/>
  <c r="B54" i="30"/>
  <c r="A54" i="30" s="1"/>
  <c r="B53" i="30"/>
  <c r="A53" i="30"/>
  <c r="B52" i="30"/>
  <c r="A52" i="30" s="1"/>
  <c r="B51" i="30"/>
  <c r="A51" i="30" s="1"/>
  <c r="B50" i="30"/>
  <c r="A50" i="30" s="1"/>
  <c r="B49" i="30"/>
  <c r="A49" i="30"/>
  <c r="B48" i="30"/>
  <c r="A48" i="30" s="1"/>
  <c r="B47" i="30"/>
  <c r="A47" i="30" s="1"/>
  <c r="B46" i="30"/>
  <c r="A46" i="30" s="1"/>
  <c r="B45" i="30"/>
  <c r="A45" i="30"/>
  <c r="B44" i="30"/>
  <c r="A44" i="30" s="1"/>
  <c r="B43" i="30"/>
  <c r="A43" i="30" s="1"/>
  <c r="B42" i="30"/>
  <c r="A42" i="30" s="1"/>
  <c r="B41" i="30"/>
  <c r="A41" i="30" s="1"/>
  <c r="B40" i="30"/>
  <c r="A40" i="30" s="1"/>
  <c r="B39" i="30"/>
  <c r="A39" i="30" s="1"/>
  <c r="B38" i="30"/>
  <c r="A38" i="30" s="1"/>
  <c r="B37" i="30"/>
  <c r="A37" i="30"/>
  <c r="B36" i="30"/>
  <c r="A36" i="30" s="1"/>
  <c r="B35" i="30"/>
  <c r="A35" i="30" s="1"/>
  <c r="B34" i="30"/>
  <c r="A34" i="30" s="1"/>
  <c r="B33" i="30"/>
  <c r="A33" i="30"/>
  <c r="B32" i="30"/>
  <c r="A32" i="30" s="1"/>
  <c r="B31" i="30"/>
  <c r="A31" i="30" s="1"/>
  <c r="B30" i="30"/>
  <c r="A30" i="30" s="1"/>
  <c r="B29" i="30"/>
  <c r="A29" i="30"/>
  <c r="B28" i="30"/>
  <c r="A28" i="30" s="1"/>
  <c r="B27" i="30"/>
  <c r="A27" i="30" s="1"/>
  <c r="B26" i="30"/>
  <c r="A26" i="30" s="1"/>
  <c r="B25" i="30"/>
  <c r="A25" i="30"/>
  <c r="B24" i="30"/>
  <c r="A24" i="30" s="1"/>
  <c r="B23" i="30"/>
  <c r="A23" i="30" s="1"/>
  <c r="B22" i="30"/>
  <c r="A22" i="30" s="1"/>
  <c r="B21" i="30"/>
  <c r="A21" i="30"/>
  <c r="B20" i="30"/>
  <c r="A20" i="30" s="1"/>
  <c r="B19" i="30"/>
  <c r="A19" i="30" s="1"/>
  <c r="B18" i="30"/>
  <c r="A18" i="30" s="1"/>
  <c r="B17" i="30"/>
  <c r="A17" i="30"/>
  <c r="B16" i="30"/>
  <c r="A16" i="30" s="1"/>
  <c r="B15" i="30"/>
  <c r="A15" i="30" s="1"/>
  <c r="B14" i="30"/>
  <c r="A14" i="30" s="1"/>
  <c r="B13" i="30"/>
  <c r="A13" i="30"/>
  <c r="B12" i="30"/>
  <c r="A12" i="30" s="1"/>
  <c r="B11" i="30"/>
  <c r="A11" i="30" s="1"/>
  <c r="B10" i="30"/>
  <c r="A10" i="30" s="1"/>
  <c r="B9" i="30"/>
  <c r="A9" i="30" s="1"/>
  <c r="B8" i="30"/>
  <c r="A8" i="30" s="1"/>
  <c r="B7" i="30"/>
  <c r="A7" i="30" s="1"/>
  <c r="B6" i="30"/>
  <c r="A6" i="30" s="1"/>
  <c r="A5" i="30"/>
  <c r="B80" i="29"/>
  <c r="A80" i="29"/>
  <c r="B79" i="29"/>
  <c r="A79" i="29"/>
  <c r="B78" i="29"/>
  <c r="A78" i="29"/>
  <c r="B77" i="29"/>
  <c r="A77" i="29"/>
  <c r="B76" i="29"/>
  <c r="A76" i="29"/>
  <c r="B75" i="29"/>
  <c r="A75" i="29"/>
  <c r="B74" i="29"/>
  <c r="A74" i="29"/>
  <c r="B73" i="29"/>
  <c r="A73" i="29"/>
  <c r="B72" i="29"/>
  <c r="A72" i="29"/>
  <c r="B71" i="29"/>
  <c r="A71" i="29"/>
  <c r="B70" i="29"/>
  <c r="A70" i="29"/>
  <c r="B69" i="29"/>
  <c r="A69" i="29"/>
  <c r="B68" i="29"/>
  <c r="A68" i="29"/>
  <c r="B67" i="29"/>
  <c r="A67" i="29"/>
  <c r="B66" i="29"/>
  <c r="A66" i="29"/>
  <c r="B65" i="29"/>
  <c r="A65" i="29"/>
  <c r="B64" i="29"/>
  <c r="A64" i="29"/>
  <c r="B63" i="29"/>
  <c r="A63" i="29"/>
  <c r="B62" i="29"/>
  <c r="A62" i="29"/>
  <c r="B61" i="29"/>
  <c r="A61" i="29"/>
  <c r="B60" i="29"/>
  <c r="A60" i="29"/>
  <c r="B59" i="29"/>
  <c r="A59" i="29"/>
  <c r="B58" i="29"/>
  <c r="A58" i="29"/>
  <c r="B57" i="29"/>
  <c r="A57" i="29"/>
  <c r="B56" i="29"/>
  <c r="A56" i="29"/>
  <c r="B55" i="29"/>
  <c r="A55" i="29"/>
  <c r="B54" i="29"/>
  <c r="A54" i="29"/>
  <c r="B53" i="29"/>
  <c r="A53" i="29"/>
  <c r="B52" i="29"/>
  <c r="A52" i="29"/>
  <c r="B51" i="29"/>
  <c r="A51" i="29"/>
  <c r="B50" i="29"/>
  <c r="A50" i="29"/>
  <c r="B49" i="29"/>
  <c r="A49" i="29"/>
  <c r="B48" i="29"/>
  <c r="A48" i="29"/>
  <c r="B47" i="29"/>
  <c r="A47" i="29"/>
  <c r="B46" i="29"/>
  <c r="A46" i="29"/>
  <c r="B45" i="29"/>
  <c r="A45" i="29"/>
  <c r="B44" i="29"/>
  <c r="A44" i="29"/>
  <c r="B43" i="29"/>
  <c r="A43" i="29"/>
  <c r="B42" i="29"/>
  <c r="A42" i="29"/>
  <c r="B41" i="29"/>
  <c r="A41" i="29"/>
  <c r="B40" i="29"/>
  <c r="A40" i="29"/>
  <c r="B39" i="29"/>
  <c r="A39" i="29"/>
  <c r="B38" i="29"/>
  <c r="A38" i="29"/>
  <c r="B37" i="29"/>
  <c r="A37" i="29"/>
  <c r="B36" i="29"/>
  <c r="A36" i="29"/>
  <c r="B35" i="29"/>
  <c r="A35" i="29"/>
  <c r="B34" i="29"/>
  <c r="A34" i="29"/>
  <c r="B33" i="29"/>
  <c r="A33" i="29"/>
  <c r="B32" i="29"/>
  <c r="A32" i="29"/>
  <c r="B31" i="29"/>
  <c r="A31" i="29"/>
  <c r="B30" i="29"/>
  <c r="A30" i="29"/>
  <c r="B29" i="29"/>
  <c r="A29" i="29"/>
  <c r="B28" i="29"/>
  <c r="A28" i="29"/>
  <c r="B27" i="29"/>
  <c r="A27" i="29"/>
  <c r="B26" i="29"/>
  <c r="A26" i="29"/>
  <c r="B25" i="29"/>
  <c r="A25" i="29"/>
  <c r="B24" i="29"/>
  <c r="A24" i="29"/>
  <c r="B23" i="29"/>
  <c r="A23" i="29"/>
  <c r="B22" i="29"/>
  <c r="A22" i="29"/>
  <c r="B21" i="29"/>
  <c r="A21" i="29"/>
  <c r="B20" i="29"/>
  <c r="A20" i="29"/>
  <c r="B19" i="29"/>
  <c r="A19" i="29"/>
  <c r="B18" i="29"/>
  <c r="A18" i="29"/>
  <c r="B17" i="29"/>
  <c r="A17" i="29"/>
  <c r="B16" i="29"/>
  <c r="A16" i="29"/>
  <c r="B15" i="29"/>
  <c r="A15" i="29"/>
  <c r="B14" i="29"/>
  <c r="A14" i="29"/>
  <c r="B13" i="29"/>
  <c r="A13" i="29"/>
  <c r="B12" i="29"/>
  <c r="A12" i="29"/>
  <c r="B11" i="29"/>
  <c r="A11" i="29"/>
  <c r="B10" i="29"/>
  <c r="A10" i="29"/>
  <c r="B9" i="29"/>
  <c r="A9" i="29"/>
  <c r="B8" i="29"/>
  <c r="A8" i="29"/>
  <c r="B7" i="29"/>
  <c r="A7" i="29"/>
  <c r="B6" i="29"/>
  <c r="A6" i="29"/>
  <c r="A5" i="29"/>
  <c r="B80" i="28"/>
  <c r="A80" i="28"/>
  <c r="B79" i="28"/>
  <c r="A79" i="28" s="1"/>
  <c r="B78" i="28"/>
  <c r="A78" i="28" s="1"/>
  <c r="B77" i="28"/>
  <c r="A77" i="28"/>
  <c r="B76" i="28"/>
  <c r="A76" i="28"/>
  <c r="B75" i="28"/>
  <c r="A75" i="28" s="1"/>
  <c r="B74" i="28"/>
  <c r="A74" i="28" s="1"/>
  <c r="B73" i="28"/>
  <c r="A73" i="28"/>
  <c r="B72" i="28"/>
  <c r="A72" i="28" s="1"/>
  <c r="B71" i="28"/>
  <c r="A71" i="28" s="1"/>
  <c r="B70" i="28"/>
  <c r="A70" i="28" s="1"/>
  <c r="B69" i="28"/>
  <c r="A69" i="28"/>
  <c r="B68" i="28"/>
  <c r="A68" i="28"/>
  <c r="B67" i="28"/>
  <c r="A67" i="28" s="1"/>
  <c r="B66" i="28"/>
  <c r="A66" i="28" s="1"/>
  <c r="B65" i="28"/>
  <c r="A65" i="28"/>
  <c r="B64" i="28"/>
  <c r="A64" i="28"/>
  <c r="B63" i="28"/>
  <c r="A63" i="28" s="1"/>
  <c r="B62" i="28"/>
  <c r="A62" i="28" s="1"/>
  <c r="B61" i="28"/>
  <c r="A61" i="28"/>
  <c r="B60" i="28"/>
  <c r="A60" i="28"/>
  <c r="B59" i="28"/>
  <c r="A59" i="28" s="1"/>
  <c r="B58" i="28"/>
  <c r="A58" i="28" s="1"/>
  <c r="B57" i="28"/>
  <c r="A57" i="28"/>
  <c r="B56" i="28"/>
  <c r="A56" i="28"/>
  <c r="B55" i="28"/>
  <c r="A55" i="28" s="1"/>
  <c r="B54" i="28"/>
  <c r="A54" i="28" s="1"/>
  <c r="B53" i="28"/>
  <c r="A53" i="28"/>
  <c r="B52" i="28"/>
  <c r="A52" i="28"/>
  <c r="B51" i="28"/>
  <c r="A51" i="28" s="1"/>
  <c r="B50" i="28"/>
  <c r="A50" i="28" s="1"/>
  <c r="B49" i="28"/>
  <c r="A49" i="28"/>
  <c r="B48" i="28"/>
  <c r="A48" i="28"/>
  <c r="B47" i="28"/>
  <c r="A47" i="28" s="1"/>
  <c r="B46" i="28"/>
  <c r="A46" i="28" s="1"/>
  <c r="B45" i="28"/>
  <c r="A45" i="28"/>
  <c r="B44" i="28"/>
  <c r="A44" i="28"/>
  <c r="B43" i="28"/>
  <c r="A43" i="28" s="1"/>
  <c r="B42" i="28"/>
  <c r="A42" i="28" s="1"/>
  <c r="B41" i="28"/>
  <c r="A41" i="28"/>
  <c r="B40" i="28"/>
  <c r="A40" i="28"/>
  <c r="B39" i="28"/>
  <c r="A39" i="28" s="1"/>
  <c r="B38" i="28"/>
  <c r="A38" i="28" s="1"/>
  <c r="B37" i="28"/>
  <c r="A37" i="28"/>
  <c r="B36" i="28"/>
  <c r="A36" i="28"/>
  <c r="B35" i="28"/>
  <c r="A35" i="28" s="1"/>
  <c r="B34" i="28"/>
  <c r="A34" i="28" s="1"/>
  <c r="B33" i="28"/>
  <c r="A33" i="28"/>
  <c r="B32" i="28"/>
  <c r="A32" i="28"/>
  <c r="B31" i="28"/>
  <c r="A31" i="28" s="1"/>
  <c r="B30" i="28"/>
  <c r="A30" i="28" s="1"/>
  <c r="B29" i="28"/>
  <c r="A29" i="28"/>
  <c r="B28" i="28"/>
  <c r="A28" i="28"/>
  <c r="B27" i="28"/>
  <c r="A27" i="28" s="1"/>
  <c r="B26" i="28"/>
  <c r="A26" i="28" s="1"/>
  <c r="B25" i="28"/>
  <c r="A25" i="28"/>
  <c r="B24" i="28"/>
  <c r="A24" i="28"/>
  <c r="B23" i="28"/>
  <c r="A23" i="28" s="1"/>
  <c r="B22" i="28"/>
  <c r="A22" i="28" s="1"/>
  <c r="B21" i="28"/>
  <c r="A21" i="28"/>
  <c r="B20" i="28"/>
  <c r="A20" i="28"/>
  <c r="B19" i="28"/>
  <c r="A19" i="28" s="1"/>
  <c r="B18" i="28"/>
  <c r="A18" i="28" s="1"/>
  <c r="B17" i="28"/>
  <c r="A17" i="28"/>
  <c r="B16" i="28"/>
  <c r="A16" i="28"/>
  <c r="B15" i="28"/>
  <c r="A15" i="28" s="1"/>
  <c r="B14" i="28"/>
  <c r="A14" i="28" s="1"/>
  <c r="B13" i="28"/>
  <c r="A13" i="28"/>
  <c r="B12" i="28"/>
  <c r="A12" i="28"/>
  <c r="B11" i="28"/>
  <c r="A11" i="28" s="1"/>
  <c r="B10" i="28"/>
  <c r="A10" i="28" s="1"/>
  <c r="B9" i="28"/>
  <c r="A9" i="28"/>
  <c r="B8" i="28"/>
  <c r="A8" i="28"/>
  <c r="B7" i="28"/>
  <c r="A7" i="28" s="1"/>
  <c r="B6" i="28"/>
  <c r="A6" i="28" s="1"/>
  <c r="A5" i="28"/>
  <c r="B80" i="27"/>
  <c r="A80" i="27"/>
  <c r="B79" i="27"/>
  <c r="A79" i="27" s="1"/>
  <c r="B78" i="27"/>
  <c r="A78" i="27"/>
  <c r="B77" i="27"/>
  <c r="A77" i="27"/>
  <c r="B76" i="27"/>
  <c r="A76" i="27"/>
  <c r="B75" i="27"/>
  <c r="A75" i="27" s="1"/>
  <c r="B74" i="27"/>
  <c r="A74" i="27"/>
  <c r="B73" i="27"/>
  <c r="A73" i="27"/>
  <c r="B72" i="27"/>
  <c r="A72" i="27" s="1"/>
  <c r="B71" i="27"/>
  <c r="A71" i="27" s="1"/>
  <c r="B70" i="27"/>
  <c r="A70" i="27"/>
  <c r="B69" i="27"/>
  <c r="A69" i="27"/>
  <c r="B68" i="27"/>
  <c r="A68" i="27"/>
  <c r="B67" i="27"/>
  <c r="A67" i="27" s="1"/>
  <c r="B66" i="27"/>
  <c r="A66" i="27"/>
  <c r="B65" i="27"/>
  <c r="A65" i="27"/>
  <c r="B64" i="27"/>
  <c r="A64" i="27"/>
  <c r="B63" i="27"/>
  <c r="A63" i="27" s="1"/>
  <c r="B62" i="27"/>
  <c r="A62" i="27"/>
  <c r="B61" i="27"/>
  <c r="A61" i="27"/>
  <c r="B60" i="27"/>
  <c r="A60" i="27" s="1"/>
  <c r="B59" i="27"/>
  <c r="A59" i="27" s="1"/>
  <c r="B58" i="27"/>
  <c r="A58" i="27"/>
  <c r="B57" i="27"/>
  <c r="A57" i="27"/>
  <c r="B56" i="27"/>
  <c r="A56" i="27"/>
  <c r="B55" i="27"/>
  <c r="A55" i="27" s="1"/>
  <c r="B54" i="27"/>
  <c r="A54" i="27"/>
  <c r="B53" i="27"/>
  <c r="A53" i="27"/>
  <c r="B52" i="27"/>
  <c r="A52" i="27"/>
  <c r="B51" i="27"/>
  <c r="A51" i="27" s="1"/>
  <c r="B50" i="27"/>
  <c r="A50" i="27"/>
  <c r="B49" i="27"/>
  <c r="A49" i="27"/>
  <c r="B48" i="27"/>
  <c r="A48" i="27"/>
  <c r="B47" i="27"/>
  <c r="A47" i="27" s="1"/>
  <c r="B46" i="27"/>
  <c r="A46" i="27"/>
  <c r="B45" i="27"/>
  <c r="A45" i="27"/>
  <c r="B44" i="27"/>
  <c r="A44" i="27"/>
  <c r="B43" i="27"/>
  <c r="A43" i="27" s="1"/>
  <c r="B42" i="27"/>
  <c r="A42" i="27"/>
  <c r="B41" i="27"/>
  <c r="A41" i="27"/>
  <c r="B40" i="27"/>
  <c r="A40" i="27" s="1"/>
  <c r="B39" i="27"/>
  <c r="A39" i="27" s="1"/>
  <c r="B38" i="27"/>
  <c r="A38" i="27"/>
  <c r="B37" i="27"/>
  <c r="A37" i="27"/>
  <c r="B36" i="27"/>
  <c r="A36" i="27"/>
  <c r="B35" i="27"/>
  <c r="A35" i="27" s="1"/>
  <c r="B34" i="27"/>
  <c r="A34" i="27"/>
  <c r="B33" i="27"/>
  <c r="A33" i="27"/>
  <c r="B32" i="27"/>
  <c r="A32" i="27" s="1"/>
  <c r="B31" i="27"/>
  <c r="A31" i="27" s="1"/>
  <c r="B30" i="27"/>
  <c r="A30" i="27"/>
  <c r="B29" i="27"/>
  <c r="A29" i="27"/>
  <c r="B28" i="27"/>
  <c r="A28" i="27"/>
  <c r="B27" i="27"/>
  <c r="A27" i="27" s="1"/>
  <c r="B26" i="27"/>
  <c r="A26" i="27"/>
  <c r="B25" i="27"/>
  <c r="A25" i="27"/>
  <c r="B24" i="27"/>
  <c r="A24" i="27"/>
  <c r="B23" i="27"/>
  <c r="A23" i="27" s="1"/>
  <c r="B22" i="27"/>
  <c r="A22" i="27"/>
  <c r="B21" i="27"/>
  <c r="A21" i="27"/>
  <c r="B20" i="27"/>
  <c r="A20" i="27"/>
  <c r="B19" i="27"/>
  <c r="A19" i="27" s="1"/>
  <c r="B18" i="27"/>
  <c r="A18" i="27"/>
  <c r="B17" i="27"/>
  <c r="A17" i="27"/>
  <c r="B16" i="27"/>
  <c r="A16" i="27"/>
  <c r="B15" i="27"/>
  <c r="A15" i="27" s="1"/>
  <c r="B14" i="27"/>
  <c r="A14" i="27"/>
  <c r="B13" i="27"/>
  <c r="A13" i="27"/>
  <c r="B12" i="27"/>
  <c r="A12" i="27"/>
  <c r="B11" i="27"/>
  <c r="A11" i="27" s="1"/>
  <c r="B10" i="27"/>
  <c r="A10" i="27"/>
  <c r="B9" i="27"/>
  <c r="A9" i="27"/>
  <c r="B8" i="27"/>
  <c r="A8" i="27" s="1"/>
  <c r="B7" i="27"/>
  <c r="A7" i="27" s="1"/>
  <c r="B6" i="27"/>
  <c r="A6" i="27"/>
  <c r="A5" i="27"/>
  <c r="B80" i="26"/>
  <c r="A80" i="26"/>
  <c r="B79" i="26"/>
  <c r="A79" i="26" s="1"/>
  <c r="B78" i="26"/>
  <c r="A78" i="26" s="1"/>
  <c r="B77" i="26"/>
  <c r="A77" i="26"/>
  <c r="B76" i="26"/>
  <c r="A76" i="26"/>
  <c r="B75" i="26"/>
  <c r="A75" i="26"/>
  <c r="B74" i="26"/>
  <c r="A74" i="26" s="1"/>
  <c r="B73" i="26"/>
  <c r="A73" i="26"/>
  <c r="B72" i="26"/>
  <c r="A72" i="26"/>
  <c r="B71" i="26"/>
  <c r="A71" i="26"/>
  <c r="B70" i="26"/>
  <c r="A70" i="26" s="1"/>
  <c r="B69" i="26"/>
  <c r="A69" i="26" s="1"/>
  <c r="B68" i="26"/>
  <c r="A68" i="26"/>
  <c r="B67" i="26"/>
  <c r="A67" i="26" s="1"/>
  <c r="B66" i="26"/>
  <c r="A66" i="26" s="1"/>
  <c r="B65" i="26"/>
  <c r="A65" i="26"/>
  <c r="B64" i="26"/>
  <c r="A64" i="26"/>
  <c r="B63" i="26"/>
  <c r="A63" i="26"/>
  <c r="B62" i="26"/>
  <c r="A62" i="26" s="1"/>
  <c r="B61" i="26"/>
  <c r="A61" i="26"/>
  <c r="B60" i="26"/>
  <c r="A60" i="26"/>
  <c r="B59" i="26"/>
  <c r="A59" i="26"/>
  <c r="B58" i="26"/>
  <c r="A58" i="26" s="1"/>
  <c r="B57" i="26"/>
  <c r="A57" i="26" s="1"/>
  <c r="B56" i="26"/>
  <c r="A56" i="26"/>
  <c r="B55" i="26"/>
  <c r="A55" i="26"/>
  <c r="B54" i="26"/>
  <c r="A54" i="26" s="1"/>
  <c r="B53" i="26"/>
  <c r="A53" i="26" s="1"/>
  <c r="B52" i="26"/>
  <c r="A52" i="26"/>
  <c r="B51" i="26"/>
  <c r="A51" i="26" s="1"/>
  <c r="B50" i="26"/>
  <c r="A50" i="26" s="1"/>
  <c r="B49" i="26"/>
  <c r="A49" i="26"/>
  <c r="B48" i="26"/>
  <c r="A48" i="26"/>
  <c r="B47" i="26"/>
  <c r="A47" i="26"/>
  <c r="B46" i="26"/>
  <c r="A46" i="26" s="1"/>
  <c r="B45" i="26"/>
  <c r="A45" i="26"/>
  <c r="B44" i="26"/>
  <c r="A44" i="26"/>
  <c r="B43" i="26"/>
  <c r="A43" i="26" s="1"/>
  <c r="B42" i="26"/>
  <c r="A42" i="26" s="1"/>
  <c r="B41" i="26"/>
  <c r="A41" i="26"/>
  <c r="B40" i="26"/>
  <c r="A40" i="26"/>
  <c r="B39" i="26"/>
  <c r="A39" i="26" s="1"/>
  <c r="B38" i="26"/>
  <c r="A38" i="26" s="1"/>
  <c r="B37" i="26"/>
  <c r="A37" i="26" s="1"/>
  <c r="B36" i="26"/>
  <c r="A36" i="26"/>
  <c r="B35" i="26"/>
  <c r="A35" i="26"/>
  <c r="B34" i="26"/>
  <c r="A34" i="26" s="1"/>
  <c r="B33" i="26"/>
  <c r="A33" i="26" s="1"/>
  <c r="B32" i="26"/>
  <c r="A32" i="26"/>
  <c r="B31" i="26"/>
  <c r="A31" i="26"/>
  <c r="B30" i="26"/>
  <c r="A30" i="26" s="1"/>
  <c r="B29" i="26"/>
  <c r="A29" i="26" s="1"/>
  <c r="B28" i="26"/>
  <c r="A28" i="26"/>
  <c r="B27" i="26"/>
  <c r="A27" i="26"/>
  <c r="B26" i="26"/>
  <c r="A26" i="26" s="1"/>
  <c r="B25" i="26"/>
  <c r="A25" i="26"/>
  <c r="B24" i="26"/>
  <c r="A24" i="26"/>
  <c r="B23" i="26"/>
  <c r="A23" i="26"/>
  <c r="B22" i="26"/>
  <c r="A22" i="26" s="1"/>
  <c r="B21" i="26"/>
  <c r="A21" i="26"/>
  <c r="B20" i="26"/>
  <c r="A20" i="26"/>
  <c r="B19" i="26"/>
  <c r="A19" i="26" s="1"/>
  <c r="B18" i="26"/>
  <c r="A18" i="26" s="1"/>
  <c r="B17" i="26"/>
  <c r="A17" i="26" s="1"/>
  <c r="B16" i="26"/>
  <c r="A16" i="26"/>
  <c r="B15" i="26"/>
  <c r="A15" i="26"/>
  <c r="B14" i="26"/>
  <c r="A14" i="26" s="1"/>
  <c r="B13" i="26"/>
  <c r="A13" i="26"/>
  <c r="B12" i="26"/>
  <c r="A12" i="26"/>
  <c r="B11" i="26"/>
  <c r="A11" i="26"/>
  <c r="B10" i="26"/>
  <c r="A10" i="26" s="1"/>
  <c r="B9" i="26"/>
  <c r="A9" i="26"/>
  <c r="B8" i="26"/>
  <c r="A8" i="26"/>
  <c r="B7" i="26"/>
  <c r="A7" i="26"/>
  <c r="B6" i="26"/>
  <c r="A6" i="26" s="1"/>
  <c r="A5" i="26"/>
  <c r="B80" i="25"/>
  <c r="A80" i="25" s="1"/>
  <c r="B79" i="25"/>
  <c r="A79" i="25"/>
  <c r="B78" i="25"/>
  <c r="A78" i="25"/>
  <c r="B77" i="25"/>
  <c r="A77" i="25"/>
  <c r="B76" i="25"/>
  <c r="A76" i="25" s="1"/>
  <c r="B75" i="25"/>
  <c r="A75" i="25"/>
  <c r="B74" i="25"/>
  <c r="A74" i="25" s="1"/>
  <c r="B73" i="25"/>
  <c r="A73" i="25"/>
  <c r="B72" i="25"/>
  <c r="A72" i="25" s="1"/>
  <c r="B71" i="25"/>
  <c r="A71" i="25" s="1"/>
  <c r="B70" i="25"/>
  <c r="A70" i="25"/>
  <c r="B69" i="25"/>
  <c r="A69" i="25"/>
  <c r="B68" i="25"/>
  <c r="A68" i="25" s="1"/>
  <c r="B67" i="25"/>
  <c r="A67" i="25"/>
  <c r="B66" i="25"/>
  <c r="A66" i="25"/>
  <c r="B65" i="25"/>
  <c r="A65" i="25"/>
  <c r="B64" i="25"/>
  <c r="A64" i="25" s="1"/>
  <c r="B63" i="25"/>
  <c r="A63" i="25"/>
  <c r="B62" i="25"/>
  <c r="A62" i="25" s="1"/>
  <c r="B61" i="25"/>
  <c r="A61" i="25"/>
  <c r="B60" i="25"/>
  <c r="A60" i="25" s="1"/>
  <c r="B59" i="25"/>
  <c r="A59" i="25" s="1"/>
  <c r="B58" i="25"/>
  <c r="A58" i="25"/>
  <c r="B57" i="25"/>
  <c r="A57" i="25"/>
  <c r="B56" i="25"/>
  <c r="A56" i="25" s="1"/>
  <c r="B55" i="25"/>
  <c r="A55" i="25" s="1"/>
  <c r="B54" i="25"/>
  <c r="A54" i="25"/>
  <c r="B53" i="25"/>
  <c r="A53" i="25"/>
  <c r="B52" i="25"/>
  <c r="A52" i="25" s="1"/>
  <c r="B51" i="25"/>
  <c r="A51" i="25"/>
  <c r="B50" i="25"/>
  <c r="A50" i="25" s="1"/>
  <c r="B49" i="25"/>
  <c r="A49" i="25"/>
  <c r="B48" i="25"/>
  <c r="A48" i="25" s="1"/>
  <c r="B47" i="25"/>
  <c r="A47" i="25"/>
  <c r="B46" i="25"/>
  <c r="A46" i="25"/>
  <c r="B45" i="25"/>
  <c r="A45" i="25"/>
  <c r="B44" i="25"/>
  <c r="A44" i="25" s="1"/>
  <c r="B43" i="25"/>
  <c r="A43" i="25"/>
  <c r="B42" i="25"/>
  <c r="A42" i="25"/>
  <c r="B41" i="25"/>
  <c r="A41" i="25"/>
  <c r="B40" i="25"/>
  <c r="A40" i="25" s="1"/>
  <c r="B39" i="25"/>
  <c r="A39" i="25" s="1"/>
  <c r="B38" i="25"/>
  <c r="A38" i="25"/>
  <c r="B37" i="25"/>
  <c r="A37" i="25"/>
  <c r="B36" i="25"/>
  <c r="A36" i="25" s="1"/>
  <c r="B35" i="25"/>
  <c r="A35" i="25"/>
  <c r="B34" i="25"/>
  <c r="A34" i="25"/>
  <c r="B33" i="25"/>
  <c r="A33" i="25"/>
  <c r="B32" i="25"/>
  <c r="A32" i="25" s="1"/>
  <c r="B31" i="25"/>
  <c r="A31" i="25" s="1"/>
  <c r="B30" i="25"/>
  <c r="A30" i="25" s="1"/>
  <c r="B29" i="25"/>
  <c r="A29" i="25"/>
  <c r="B28" i="25"/>
  <c r="A28" i="25" s="1"/>
  <c r="B27" i="25"/>
  <c r="A27" i="25"/>
  <c r="B26" i="25"/>
  <c r="A26" i="25" s="1"/>
  <c r="B25" i="25"/>
  <c r="A25" i="25"/>
  <c r="B24" i="25"/>
  <c r="A24" i="25" s="1"/>
  <c r="B23" i="25"/>
  <c r="A23" i="25"/>
  <c r="B22" i="25"/>
  <c r="A22" i="25"/>
  <c r="B21" i="25"/>
  <c r="A21" i="25"/>
  <c r="B20" i="25"/>
  <c r="A20" i="25" s="1"/>
  <c r="B19" i="25"/>
  <c r="A19" i="25"/>
  <c r="B18" i="25"/>
  <c r="A18" i="25" s="1"/>
  <c r="B17" i="25"/>
  <c r="A17" i="25"/>
  <c r="B16" i="25"/>
  <c r="A16" i="25" s="1"/>
  <c r="B15" i="25"/>
  <c r="A15" i="25"/>
  <c r="B14" i="25"/>
  <c r="A14" i="25"/>
  <c r="B13" i="25"/>
  <c r="A13" i="25"/>
  <c r="B12" i="25"/>
  <c r="A12" i="25" s="1"/>
  <c r="B11" i="25"/>
  <c r="A11" i="25"/>
  <c r="B10" i="25"/>
  <c r="A10" i="25"/>
  <c r="B9" i="25"/>
  <c r="A9" i="25"/>
  <c r="B8" i="25"/>
  <c r="A8" i="25" s="1"/>
  <c r="B7" i="25"/>
  <c r="A7" i="25" s="1"/>
  <c r="B6" i="25"/>
  <c r="A6" i="25"/>
  <c r="A5" i="25"/>
  <c r="B80" i="24"/>
  <c r="A80" i="24"/>
  <c r="B79" i="24"/>
  <c r="A79" i="24"/>
  <c r="B78" i="24"/>
  <c r="A78" i="24"/>
  <c r="B77" i="24"/>
  <c r="A77" i="24"/>
  <c r="B76" i="24"/>
  <c r="A76" i="24"/>
  <c r="B75" i="24"/>
  <c r="A75" i="24"/>
  <c r="B74" i="24"/>
  <c r="A74" i="24"/>
  <c r="B73" i="24"/>
  <c r="A73" i="24"/>
  <c r="B72" i="24"/>
  <c r="A72" i="24"/>
  <c r="B71" i="24"/>
  <c r="A71" i="24"/>
  <c r="B70" i="24"/>
  <c r="A70" i="24"/>
  <c r="B69" i="24"/>
  <c r="A69" i="24"/>
  <c r="B68" i="24"/>
  <c r="A68" i="24"/>
  <c r="B67" i="24"/>
  <c r="A67" i="24"/>
  <c r="B66" i="24"/>
  <c r="A66" i="24"/>
  <c r="B65" i="24"/>
  <c r="A65" i="24"/>
  <c r="B64" i="24"/>
  <c r="A64" i="24"/>
  <c r="B63" i="24"/>
  <c r="A63" i="24"/>
  <c r="B62" i="24"/>
  <c r="A62" i="24"/>
  <c r="B61" i="24"/>
  <c r="A61" i="24"/>
  <c r="B60" i="24"/>
  <c r="A60" i="24"/>
  <c r="B59" i="24"/>
  <c r="A59" i="24"/>
  <c r="B58" i="24"/>
  <c r="A58" i="24"/>
  <c r="B57" i="24"/>
  <c r="A57" i="24"/>
  <c r="B56" i="24"/>
  <c r="A56" i="24"/>
  <c r="B55" i="24"/>
  <c r="A55" i="24"/>
  <c r="B54" i="24"/>
  <c r="A54" i="24"/>
  <c r="B53" i="24"/>
  <c r="A53" i="24"/>
  <c r="B52" i="24"/>
  <c r="A52" i="24"/>
  <c r="B51" i="24"/>
  <c r="A51" i="24"/>
  <c r="B50" i="24"/>
  <c r="A50" i="24"/>
  <c r="B49" i="24"/>
  <c r="A49" i="24"/>
  <c r="B48" i="24"/>
  <c r="A48" i="24"/>
  <c r="B47" i="24"/>
  <c r="A47" i="24"/>
  <c r="B46" i="24"/>
  <c r="A46" i="24"/>
  <c r="B45" i="24"/>
  <c r="A45" i="24"/>
  <c r="B44" i="24"/>
  <c r="A44" i="24"/>
  <c r="B43" i="24"/>
  <c r="A43" i="24"/>
  <c r="B42" i="24"/>
  <c r="A42" i="24"/>
  <c r="B41" i="24"/>
  <c r="A41" i="24"/>
  <c r="B40" i="24"/>
  <c r="A40" i="24"/>
  <c r="B39" i="24"/>
  <c r="A39" i="24"/>
  <c r="B38" i="24"/>
  <c r="A38" i="24"/>
  <c r="B37" i="24"/>
  <c r="A37" i="24"/>
  <c r="B36" i="24"/>
  <c r="A36" i="24"/>
  <c r="B35" i="24"/>
  <c r="A35" i="24"/>
  <c r="B34" i="24"/>
  <c r="A34" i="24"/>
  <c r="B33" i="24"/>
  <c r="A33" i="24"/>
  <c r="B32" i="24"/>
  <c r="A32" i="24"/>
  <c r="B31" i="24"/>
  <c r="A31" i="24"/>
  <c r="B30" i="24"/>
  <c r="A30" i="24"/>
  <c r="B29" i="24"/>
  <c r="A29" i="24"/>
  <c r="B28" i="24"/>
  <c r="A28" i="24"/>
  <c r="B27" i="24"/>
  <c r="A27" i="24"/>
  <c r="B26" i="24"/>
  <c r="A26" i="24"/>
  <c r="B25" i="24"/>
  <c r="A25" i="24"/>
  <c r="B24" i="24"/>
  <c r="A24" i="24"/>
  <c r="B23" i="24"/>
  <c r="A23" i="24"/>
  <c r="B22" i="24"/>
  <c r="A22" i="24"/>
  <c r="B21" i="24"/>
  <c r="A21" i="24"/>
  <c r="B20" i="24"/>
  <c r="A20" i="24"/>
  <c r="B19" i="24"/>
  <c r="A19" i="24"/>
  <c r="B18" i="24"/>
  <c r="A18" i="24"/>
  <c r="B17" i="24"/>
  <c r="A17" i="24"/>
  <c r="B16" i="24"/>
  <c r="A16" i="24"/>
  <c r="B15" i="24"/>
  <c r="A15" i="24"/>
  <c r="B14" i="24"/>
  <c r="A14" i="24"/>
  <c r="B13" i="24"/>
  <c r="A13" i="24"/>
  <c r="B12" i="24"/>
  <c r="A12" i="24"/>
  <c r="B11" i="24"/>
  <c r="A11" i="24"/>
  <c r="B10" i="24"/>
  <c r="A10" i="24"/>
  <c r="B9" i="24"/>
  <c r="A9" i="24"/>
  <c r="B8" i="24"/>
  <c r="A8" i="24"/>
  <c r="B7" i="24"/>
  <c r="A7" i="24"/>
  <c r="B6" i="24"/>
  <c r="A6" i="24"/>
  <c r="A5" i="24"/>
  <c r="B80" i="23"/>
  <c r="A80" i="23" s="1"/>
  <c r="B79" i="23"/>
  <c r="A79" i="23" s="1"/>
  <c r="B78" i="23"/>
  <c r="A78" i="23"/>
  <c r="B77" i="23"/>
  <c r="A77" i="23"/>
  <c r="B76" i="23"/>
  <c r="A76" i="23"/>
  <c r="B75" i="23"/>
  <c r="A75" i="23" s="1"/>
  <c r="B74" i="23"/>
  <c r="A74" i="23" s="1"/>
  <c r="B73" i="23"/>
  <c r="A73" i="23" s="1"/>
  <c r="B72" i="23"/>
  <c r="A72" i="23"/>
  <c r="B71" i="23"/>
  <c r="A71" i="23" s="1"/>
  <c r="B70" i="23"/>
  <c r="A70" i="23" s="1"/>
  <c r="B69" i="23"/>
  <c r="A69" i="23" s="1"/>
  <c r="B68" i="23"/>
  <c r="A68" i="23"/>
  <c r="B67" i="23"/>
  <c r="A67" i="23" s="1"/>
  <c r="B66" i="23"/>
  <c r="A66" i="23"/>
  <c r="B65" i="23"/>
  <c r="A65" i="23"/>
  <c r="B64" i="23"/>
  <c r="A64" i="23" s="1"/>
  <c r="B63" i="23"/>
  <c r="A63" i="23" s="1"/>
  <c r="B62" i="23"/>
  <c r="A62" i="23"/>
  <c r="B61" i="23"/>
  <c r="A61" i="23"/>
  <c r="B60" i="23"/>
  <c r="A60" i="23"/>
  <c r="B59" i="23"/>
  <c r="A59" i="23" s="1"/>
  <c r="B58" i="23"/>
  <c r="A58" i="23" s="1"/>
  <c r="B57" i="23"/>
  <c r="A57" i="23" s="1"/>
  <c r="B56" i="23"/>
  <c r="A56" i="23" s="1"/>
  <c r="B55" i="23"/>
  <c r="A55" i="23" s="1"/>
  <c r="B54" i="23"/>
  <c r="A54" i="23"/>
  <c r="B53" i="23"/>
  <c r="A53" i="23"/>
  <c r="B52" i="23"/>
  <c r="A52" i="23"/>
  <c r="B51" i="23"/>
  <c r="A51" i="23" s="1"/>
  <c r="B50" i="23"/>
  <c r="A50" i="23" s="1"/>
  <c r="B49" i="23"/>
  <c r="A49" i="23"/>
  <c r="B48" i="23"/>
  <c r="A48" i="23"/>
  <c r="B47" i="23"/>
  <c r="A47" i="23" s="1"/>
  <c r="B46" i="23"/>
  <c r="A46" i="23" s="1"/>
  <c r="B45" i="23"/>
  <c r="A45" i="23"/>
  <c r="B44" i="23"/>
  <c r="A44" i="23" s="1"/>
  <c r="B43" i="23"/>
  <c r="A43" i="23" s="1"/>
  <c r="B42" i="23"/>
  <c r="A42" i="23"/>
  <c r="B41" i="23"/>
  <c r="A41" i="23" s="1"/>
  <c r="B40" i="23"/>
  <c r="A40" i="23"/>
  <c r="B39" i="23"/>
  <c r="A39" i="23" s="1"/>
  <c r="B38" i="23"/>
  <c r="A38" i="23"/>
  <c r="B37" i="23"/>
  <c r="A37" i="23"/>
  <c r="B36" i="23"/>
  <c r="A36" i="23"/>
  <c r="B35" i="23"/>
  <c r="A35" i="23" s="1"/>
  <c r="B34" i="23"/>
  <c r="A34" i="23" s="1"/>
  <c r="B33" i="23"/>
  <c r="A33" i="23" s="1"/>
  <c r="B32" i="23"/>
  <c r="A32" i="23" s="1"/>
  <c r="B31" i="23"/>
  <c r="A31" i="23" s="1"/>
  <c r="B30" i="23"/>
  <c r="A30" i="23"/>
  <c r="B29" i="23"/>
  <c r="A29" i="23" s="1"/>
  <c r="B28" i="23"/>
  <c r="A28" i="23" s="1"/>
  <c r="B27" i="23"/>
  <c r="A27" i="23" s="1"/>
  <c r="B26" i="23"/>
  <c r="A26" i="23" s="1"/>
  <c r="B25" i="23"/>
  <c r="A25" i="23"/>
  <c r="B24" i="23"/>
  <c r="A24" i="23"/>
  <c r="B23" i="23"/>
  <c r="A23" i="23" s="1"/>
  <c r="B22" i="23"/>
  <c r="A22" i="23"/>
  <c r="B21" i="23"/>
  <c r="A21" i="23"/>
  <c r="B20" i="23"/>
  <c r="A20" i="23" s="1"/>
  <c r="B19" i="23"/>
  <c r="A19" i="23" s="1"/>
  <c r="B18" i="23"/>
  <c r="A18" i="23" s="1"/>
  <c r="B17" i="23"/>
  <c r="A17" i="23" s="1"/>
  <c r="B16" i="23"/>
  <c r="A16" i="23" s="1"/>
  <c r="B15" i="23"/>
  <c r="A15" i="23" s="1"/>
  <c r="B14" i="23"/>
  <c r="A14" i="23"/>
  <c r="B13" i="23"/>
  <c r="A13" i="23"/>
  <c r="B12" i="23"/>
  <c r="A12" i="23"/>
  <c r="B11" i="23"/>
  <c r="A11" i="23" s="1"/>
  <c r="B10" i="23"/>
  <c r="A10" i="23" s="1"/>
  <c r="B9" i="23"/>
  <c r="A9" i="23" s="1"/>
  <c r="B8" i="23"/>
  <c r="A8" i="23"/>
  <c r="B7" i="23"/>
  <c r="A7" i="23" s="1"/>
  <c r="B6" i="23"/>
  <c r="A6" i="23"/>
  <c r="A5" i="23"/>
  <c r="B80" i="22"/>
  <c r="A80" i="22" s="1"/>
  <c r="B79" i="22"/>
  <c r="A79" i="22" s="1"/>
  <c r="B78" i="22"/>
  <c r="A78" i="22"/>
  <c r="B77" i="22"/>
  <c r="A77" i="22" s="1"/>
  <c r="B76" i="22"/>
  <c r="A76" i="22" s="1"/>
  <c r="B75" i="22"/>
  <c r="A75" i="22"/>
  <c r="B74" i="22"/>
  <c r="A74" i="22"/>
  <c r="B73" i="22"/>
  <c r="A73" i="22"/>
  <c r="B72" i="22"/>
  <c r="A72" i="22" s="1"/>
  <c r="B71" i="22"/>
  <c r="A71" i="22" s="1"/>
  <c r="B70" i="22"/>
  <c r="A70" i="22"/>
  <c r="B69" i="22"/>
  <c r="A69" i="22"/>
  <c r="B68" i="22"/>
  <c r="A68" i="22" s="1"/>
  <c r="B67" i="22"/>
  <c r="A67" i="22" s="1"/>
  <c r="B66" i="22"/>
  <c r="A66" i="22"/>
  <c r="B65" i="22"/>
  <c r="A65" i="22"/>
  <c r="B64" i="22"/>
  <c r="A64" i="22" s="1"/>
  <c r="B63" i="22"/>
  <c r="A63" i="22"/>
  <c r="B62" i="22"/>
  <c r="A62" i="22"/>
  <c r="B61" i="22"/>
  <c r="A61" i="22" s="1"/>
  <c r="B60" i="22"/>
  <c r="A60" i="22" s="1"/>
  <c r="B59" i="22"/>
  <c r="A59" i="22" s="1"/>
  <c r="B58" i="22"/>
  <c r="A58" i="22"/>
  <c r="B57" i="22"/>
  <c r="A57" i="22"/>
  <c r="B56" i="22"/>
  <c r="A56" i="22" s="1"/>
  <c r="B55" i="22"/>
  <c r="A55" i="22" s="1"/>
  <c r="B54" i="22"/>
  <c r="A54" i="22"/>
  <c r="B53" i="22"/>
  <c r="A53" i="22" s="1"/>
  <c r="B52" i="22"/>
  <c r="A52" i="22" s="1"/>
  <c r="B51" i="22"/>
  <c r="A51" i="22"/>
  <c r="B50" i="22"/>
  <c r="A50" i="22"/>
  <c r="B49" i="22"/>
  <c r="A49" i="22" s="1"/>
  <c r="B48" i="22"/>
  <c r="A48" i="22" s="1"/>
  <c r="B47" i="22"/>
  <c r="A47" i="22" s="1"/>
  <c r="B46" i="22"/>
  <c r="A46" i="22"/>
  <c r="B45" i="22"/>
  <c r="A45" i="22"/>
  <c r="B44" i="22"/>
  <c r="A44" i="22" s="1"/>
  <c r="B43" i="22"/>
  <c r="A43" i="22"/>
  <c r="B42" i="22"/>
  <c r="A42" i="22"/>
  <c r="B41" i="22"/>
  <c r="A41" i="22"/>
  <c r="B40" i="22"/>
  <c r="A40" i="22" s="1"/>
  <c r="B39" i="22"/>
  <c r="A39" i="22" s="1"/>
  <c r="B38" i="22"/>
  <c r="A38" i="22"/>
  <c r="B37" i="22"/>
  <c r="A37" i="22"/>
  <c r="B36" i="22"/>
  <c r="A36" i="22" s="1"/>
  <c r="B35" i="22"/>
  <c r="A35" i="22"/>
  <c r="B34" i="22"/>
  <c r="A34" i="22"/>
  <c r="B33" i="22"/>
  <c r="A33" i="22"/>
  <c r="B32" i="22"/>
  <c r="A32" i="22" s="1"/>
  <c r="B31" i="22"/>
  <c r="A31" i="22"/>
  <c r="B30" i="22"/>
  <c r="A30" i="22"/>
  <c r="B29" i="22"/>
  <c r="A29" i="22" s="1"/>
  <c r="B28" i="22"/>
  <c r="A28" i="22" s="1"/>
  <c r="B27" i="22"/>
  <c r="A27" i="22"/>
  <c r="B26" i="22"/>
  <c r="A26" i="22"/>
  <c r="B25" i="22"/>
  <c r="A25" i="22"/>
  <c r="B24" i="22"/>
  <c r="A24" i="22" s="1"/>
  <c r="B23" i="22"/>
  <c r="A23" i="22" s="1"/>
  <c r="B22" i="22"/>
  <c r="A22" i="22"/>
  <c r="B21" i="22"/>
  <c r="A21" i="22" s="1"/>
  <c r="B20" i="22"/>
  <c r="A20" i="22" s="1"/>
  <c r="B19" i="22"/>
  <c r="A19" i="22"/>
  <c r="B18" i="22"/>
  <c r="A18" i="22"/>
  <c r="B17" i="22"/>
  <c r="A17" i="22" s="1"/>
  <c r="B16" i="22"/>
  <c r="A16" i="22" s="1"/>
  <c r="B15" i="22"/>
  <c r="A15" i="22" s="1"/>
  <c r="B14" i="22"/>
  <c r="A14" i="22"/>
  <c r="B13" i="22"/>
  <c r="A13" i="22" s="1"/>
  <c r="B12" i="22"/>
  <c r="A12" i="22" s="1"/>
  <c r="B11" i="22"/>
  <c r="A11" i="22"/>
  <c r="B10" i="22"/>
  <c r="A10" i="22"/>
  <c r="B9" i="22"/>
  <c r="A9" i="22"/>
  <c r="B8" i="22"/>
  <c r="A8" i="22" s="1"/>
  <c r="B7" i="22"/>
  <c r="A7" i="22" s="1"/>
  <c r="B6" i="22"/>
  <c r="A6" i="22"/>
  <c r="A5" i="22"/>
  <c r="B80" i="21"/>
  <c r="A80" i="21" s="1"/>
  <c r="B79" i="21"/>
  <c r="A79" i="21"/>
  <c r="B78" i="21"/>
  <c r="A78" i="21" s="1"/>
  <c r="B77" i="21"/>
  <c r="A77" i="21"/>
  <c r="B76" i="21"/>
  <c r="A76" i="21"/>
  <c r="B75" i="21"/>
  <c r="A75" i="21" s="1"/>
  <c r="B74" i="21"/>
  <c r="A74" i="21" s="1"/>
  <c r="B73" i="21"/>
  <c r="A73" i="21" s="1"/>
  <c r="B72" i="21"/>
  <c r="A72" i="21" s="1"/>
  <c r="B71" i="21"/>
  <c r="A71" i="21"/>
  <c r="B70" i="21"/>
  <c r="A70" i="21" s="1"/>
  <c r="B69" i="21"/>
  <c r="A69" i="21"/>
  <c r="B68" i="21"/>
  <c r="A68" i="21"/>
  <c r="B67" i="21"/>
  <c r="A67" i="21"/>
  <c r="B66" i="21"/>
  <c r="A66" i="21" s="1"/>
  <c r="B65" i="21"/>
  <c r="A65" i="21"/>
  <c r="B64" i="21"/>
  <c r="A64" i="21" s="1"/>
  <c r="B63" i="21"/>
  <c r="A63" i="21"/>
  <c r="B62" i="21"/>
  <c r="A62" i="21" s="1"/>
  <c r="B61" i="21"/>
  <c r="A61" i="21" s="1"/>
  <c r="B60" i="21"/>
  <c r="A60" i="21"/>
  <c r="B59" i="21"/>
  <c r="A59" i="21" s="1"/>
  <c r="B58" i="21"/>
  <c r="A58" i="21" s="1"/>
  <c r="B57" i="21"/>
  <c r="A57" i="21"/>
  <c r="B56" i="21"/>
  <c r="A56" i="21"/>
  <c r="B55" i="21"/>
  <c r="A55" i="21"/>
  <c r="B54" i="21"/>
  <c r="A54" i="21" s="1"/>
  <c r="B53" i="21"/>
  <c r="A53" i="21" s="1"/>
  <c r="B52" i="21"/>
  <c r="A52" i="21" s="1"/>
  <c r="B51" i="21"/>
  <c r="A51" i="21"/>
  <c r="B50" i="21"/>
  <c r="A50" i="21" s="1"/>
  <c r="B49" i="21"/>
  <c r="A49" i="21" s="1"/>
  <c r="B48" i="21"/>
  <c r="A48" i="21"/>
  <c r="B47" i="21"/>
  <c r="A47" i="21"/>
  <c r="B46" i="21"/>
  <c r="A46" i="21" s="1"/>
  <c r="B45" i="21"/>
  <c r="A45" i="21" s="1"/>
  <c r="B44" i="21"/>
  <c r="A44" i="21"/>
  <c r="B43" i="21"/>
  <c r="A43" i="21" s="1"/>
  <c r="B42" i="21"/>
  <c r="A42" i="21" s="1"/>
  <c r="B41" i="21"/>
  <c r="A41" i="21" s="1"/>
  <c r="B40" i="21"/>
  <c r="A40" i="21" s="1"/>
  <c r="B39" i="21"/>
  <c r="A39" i="21"/>
  <c r="B38" i="21"/>
  <c r="A38" i="21" s="1"/>
  <c r="B37" i="21"/>
  <c r="A37" i="21"/>
  <c r="B36" i="21"/>
  <c r="A36" i="21"/>
  <c r="B35" i="21"/>
  <c r="A35" i="21" s="1"/>
  <c r="B34" i="21"/>
  <c r="A34" i="21" s="1"/>
  <c r="B33" i="21"/>
  <c r="A33" i="21"/>
  <c r="B32" i="21"/>
  <c r="A32" i="21"/>
  <c r="B31" i="21"/>
  <c r="A31" i="21"/>
  <c r="B30" i="21"/>
  <c r="A30" i="21" s="1"/>
  <c r="B29" i="21"/>
  <c r="A29" i="21" s="1"/>
  <c r="B28" i="21"/>
  <c r="A28" i="21"/>
  <c r="B27" i="21"/>
  <c r="A27" i="21"/>
  <c r="B26" i="21"/>
  <c r="A26" i="21" s="1"/>
  <c r="B25" i="21"/>
  <c r="A25" i="21" s="1"/>
  <c r="B24" i="21"/>
  <c r="A24" i="21"/>
  <c r="B23" i="21"/>
  <c r="A23" i="21"/>
  <c r="B22" i="21"/>
  <c r="A22" i="21" s="1"/>
  <c r="B21" i="21"/>
  <c r="A21" i="21" s="1"/>
  <c r="B20" i="21"/>
  <c r="A20" i="21" s="1"/>
  <c r="B19" i="21"/>
  <c r="A19" i="21" s="1"/>
  <c r="B18" i="21"/>
  <c r="A18" i="21" s="1"/>
  <c r="B17" i="21"/>
  <c r="A17" i="21" s="1"/>
  <c r="B16" i="21"/>
  <c r="A16" i="21" s="1"/>
  <c r="B15" i="21"/>
  <c r="A15" i="21"/>
  <c r="B14" i="21"/>
  <c r="A14" i="21" s="1"/>
  <c r="B13" i="21"/>
  <c r="A13" i="21"/>
  <c r="B12" i="21"/>
  <c r="A12" i="21"/>
  <c r="B11" i="21"/>
  <c r="A11" i="21" s="1"/>
  <c r="B10" i="21"/>
  <c r="A10" i="21" s="1"/>
  <c r="B9" i="21"/>
  <c r="A9" i="21"/>
  <c r="B8" i="21"/>
  <c r="A8" i="21"/>
  <c r="B7" i="21"/>
  <c r="A7" i="21"/>
  <c r="B6" i="21"/>
  <c r="A6" i="21" s="1"/>
  <c r="A5" i="21"/>
  <c r="B80" i="20"/>
  <c r="A80" i="20"/>
  <c r="B79" i="20"/>
  <c r="A79" i="20"/>
  <c r="B78" i="20"/>
  <c r="A78" i="20"/>
  <c r="B77" i="20"/>
  <c r="A77" i="20"/>
  <c r="B76" i="20"/>
  <c r="A76" i="20"/>
  <c r="B75" i="20"/>
  <c r="A75" i="20"/>
  <c r="B74" i="20"/>
  <c r="A74" i="20"/>
  <c r="B73" i="20"/>
  <c r="A73" i="20"/>
  <c r="B72" i="20"/>
  <c r="A72" i="20"/>
  <c r="B71" i="20"/>
  <c r="A71" i="20"/>
  <c r="B70" i="20"/>
  <c r="A70" i="20"/>
  <c r="B69" i="20"/>
  <c r="A69" i="20"/>
  <c r="B68" i="20"/>
  <c r="A68" i="20"/>
  <c r="B67" i="20"/>
  <c r="A67" i="20"/>
  <c r="B66" i="20"/>
  <c r="A66" i="20"/>
  <c r="B65" i="20"/>
  <c r="A65" i="20"/>
  <c r="B64" i="20"/>
  <c r="A64" i="20"/>
  <c r="B63" i="20"/>
  <c r="A63" i="20"/>
  <c r="B62" i="20"/>
  <c r="A62" i="20"/>
  <c r="B61" i="20"/>
  <c r="A61" i="20"/>
  <c r="B60" i="20"/>
  <c r="A60" i="20"/>
  <c r="B59" i="20"/>
  <c r="A59" i="20"/>
  <c r="B58" i="20"/>
  <c r="A58" i="20"/>
  <c r="B57" i="20"/>
  <c r="A57" i="20"/>
  <c r="B56" i="20"/>
  <c r="A56" i="20"/>
  <c r="B55" i="20"/>
  <c r="A55" i="20"/>
  <c r="B54" i="20"/>
  <c r="A54" i="20"/>
  <c r="B53" i="20"/>
  <c r="A53" i="20"/>
  <c r="B52" i="20"/>
  <c r="A52" i="20"/>
  <c r="B51" i="20"/>
  <c r="A51" i="20"/>
  <c r="B50" i="20"/>
  <c r="A50" i="20"/>
  <c r="B49" i="20"/>
  <c r="A49" i="20"/>
  <c r="B48" i="20"/>
  <c r="A48" i="20"/>
  <c r="B47" i="20"/>
  <c r="A47" i="20"/>
  <c r="B46" i="20"/>
  <c r="A46" i="20"/>
  <c r="B45" i="20"/>
  <c r="A45" i="20"/>
  <c r="B44" i="20"/>
  <c r="A44" i="20"/>
  <c r="B43" i="20"/>
  <c r="A43" i="20"/>
  <c r="B42" i="20"/>
  <c r="A42" i="20"/>
  <c r="B41" i="20"/>
  <c r="A41" i="20"/>
  <c r="B40" i="20"/>
  <c r="A40" i="20"/>
  <c r="B39" i="20"/>
  <c r="A39" i="20"/>
  <c r="B38" i="20"/>
  <c r="A38" i="20"/>
  <c r="B37" i="20"/>
  <c r="A37" i="20"/>
  <c r="B36" i="20"/>
  <c r="A36" i="20"/>
  <c r="B35" i="20"/>
  <c r="A35" i="20"/>
  <c r="B34" i="20"/>
  <c r="A34" i="20"/>
  <c r="B33" i="20"/>
  <c r="A33" i="20"/>
  <c r="B32" i="20"/>
  <c r="A32" i="20"/>
  <c r="B31" i="20"/>
  <c r="A31" i="20"/>
  <c r="B30" i="20"/>
  <c r="A30" i="20"/>
  <c r="B29" i="20"/>
  <c r="A29" i="20"/>
  <c r="B28" i="20"/>
  <c r="A28" i="20"/>
  <c r="B27" i="20"/>
  <c r="A27" i="20"/>
  <c r="B26" i="20"/>
  <c r="A26" i="20"/>
  <c r="B25" i="20"/>
  <c r="A25" i="20"/>
  <c r="B24" i="20"/>
  <c r="A24" i="20"/>
  <c r="B23" i="20"/>
  <c r="A23" i="20"/>
  <c r="B22" i="20"/>
  <c r="A22" i="20"/>
  <c r="B21" i="20"/>
  <c r="A21" i="20"/>
  <c r="B20" i="20"/>
  <c r="A20" i="20"/>
  <c r="B19" i="20"/>
  <c r="A19" i="20"/>
  <c r="B18" i="20"/>
  <c r="A18" i="20"/>
  <c r="B17" i="20"/>
  <c r="A17" i="20"/>
  <c r="B16" i="20"/>
  <c r="A16" i="20"/>
  <c r="B15" i="20"/>
  <c r="A15" i="20"/>
  <c r="B14" i="20"/>
  <c r="A14" i="20"/>
  <c r="B13" i="20"/>
  <c r="A13" i="20"/>
  <c r="B12" i="20"/>
  <c r="A12" i="20"/>
  <c r="B11" i="20"/>
  <c r="A11" i="20"/>
  <c r="B10" i="20"/>
  <c r="A10" i="20"/>
  <c r="B9" i="20"/>
  <c r="A9" i="20"/>
  <c r="B8" i="20"/>
  <c r="A8" i="20"/>
  <c r="B7" i="20"/>
  <c r="A7" i="20"/>
  <c r="B6" i="20"/>
  <c r="A6" i="20"/>
  <c r="A5" i="20"/>
  <c r="B80" i="19"/>
  <c r="A80" i="19"/>
  <c r="B79" i="19"/>
  <c r="A79" i="19" s="1"/>
  <c r="B78" i="19"/>
  <c r="A78" i="19" s="1"/>
  <c r="B77" i="19"/>
  <c r="A77" i="19" s="1"/>
  <c r="B76" i="19"/>
  <c r="A76" i="19"/>
  <c r="B75" i="19"/>
  <c r="A75" i="19"/>
  <c r="B74" i="19"/>
  <c r="A74" i="19"/>
  <c r="B73" i="19"/>
  <c r="A73" i="19" s="1"/>
  <c r="B72" i="19"/>
  <c r="A72" i="19" s="1"/>
  <c r="B71" i="19"/>
  <c r="A71" i="19" s="1"/>
  <c r="B70" i="19"/>
  <c r="A70" i="19" s="1"/>
  <c r="B69" i="19"/>
  <c r="A69" i="19" s="1"/>
  <c r="B68" i="19"/>
  <c r="A68" i="19"/>
  <c r="B67" i="19"/>
  <c r="A67" i="19"/>
  <c r="B66" i="19"/>
  <c r="A66" i="19"/>
  <c r="B65" i="19"/>
  <c r="A65" i="19" s="1"/>
  <c r="B64" i="19"/>
  <c r="A64" i="19" s="1"/>
  <c r="B63" i="19"/>
  <c r="A63" i="19" s="1"/>
  <c r="B62" i="19"/>
  <c r="A62" i="19"/>
  <c r="B61" i="19"/>
  <c r="A61" i="19" s="1"/>
  <c r="B60" i="19"/>
  <c r="A60" i="19"/>
  <c r="B59" i="19"/>
  <c r="A59" i="19" s="1"/>
  <c r="B58" i="19"/>
  <c r="A58" i="19"/>
  <c r="B57" i="19"/>
  <c r="A57" i="19" s="1"/>
  <c r="B56" i="19"/>
  <c r="A56" i="19"/>
  <c r="B55" i="19"/>
  <c r="A55" i="19"/>
  <c r="B54" i="19"/>
  <c r="A54" i="19" s="1"/>
  <c r="B53" i="19"/>
  <c r="A53" i="19" s="1"/>
  <c r="B52" i="19"/>
  <c r="A52" i="19"/>
  <c r="B51" i="19"/>
  <c r="A51" i="19"/>
  <c r="B50" i="19"/>
  <c r="A50" i="19"/>
  <c r="B49" i="19"/>
  <c r="A49" i="19" s="1"/>
  <c r="B48" i="19"/>
  <c r="A48" i="19" s="1"/>
  <c r="B47" i="19"/>
  <c r="A47" i="19" s="1"/>
  <c r="B46" i="19"/>
  <c r="A46" i="19"/>
  <c r="B45" i="19"/>
  <c r="A45" i="19" s="1"/>
  <c r="B44" i="19"/>
  <c r="A44" i="19"/>
  <c r="B43" i="19"/>
  <c r="A43" i="19" s="1"/>
  <c r="B42" i="19"/>
  <c r="A42" i="19"/>
  <c r="B41" i="19"/>
  <c r="A41" i="19" s="1"/>
  <c r="B40" i="19"/>
  <c r="A40" i="19" s="1"/>
  <c r="B39" i="19"/>
  <c r="A39" i="19" s="1"/>
  <c r="B38" i="19"/>
  <c r="A38" i="19" s="1"/>
  <c r="B37" i="19"/>
  <c r="A37" i="19" s="1"/>
  <c r="B36" i="19"/>
  <c r="A36" i="19"/>
  <c r="B35" i="19"/>
  <c r="A35" i="19"/>
  <c r="B34" i="19"/>
  <c r="A34" i="19"/>
  <c r="B33" i="19"/>
  <c r="A33" i="19" s="1"/>
  <c r="B32" i="19"/>
  <c r="A32" i="19"/>
  <c r="B31" i="19"/>
  <c r="A31" i="19" s="1"/>
  <c r="B30" i="19"/>
  <c r="A30" i="19"/>
  <c r="B29" i="19"/>
  <c r="A29" i="19" s="1"/>
  <c r="B28" i="19"/>
  <c r="A28" i="19" s="1"/>
  <c r="B27" i="19"/>
  <c r="A27" i="19"/>
  <c r="B26" i="19"/>
  <c r="A26" i="19"/>
  <c r="B25" i="19"/>
  <c r="A25" i="19" s="1"/>
  <c r="B24" i="19"/>
  <c r="A24" i="19"/>
  <c r="B23" i="19"/>
  <c r="A23" i="19" s="1"/>
  <c r="B22" i="19"/>
  <c r="A22" i="19" s="1"/>
  <c r="B21" i="19"/>
  <c r="A21" i="19" s="1"/>
  <c r="B20" i="19"/>
  <c r="A20" i="19"/>
  <c r="B19" i="19"/>
  <c r="A19" i="19" s="1"/>
  <c r="B18" i="19"/>
  <c r="A18" i="19" s="1"/>
  <c r="B17" i="19"/>
  <c r="A17" i="19" s="1"/>
  <c r="B16" i="19"/>
  <c r="A16" i="19" s="1"/>
  <c r="B15" i="19"/>
  <c r="A15" i="19"/>
  <c r="B14" i="19"/>
  <c r="A14" i="19" s="1"/>
  <c r="B13" i="19"/>
  <c r="A13" i="19" s="1"/>
  <c r="B12" i="19"/>
  <c r="A12" i="19"/>
  <c r="B11" i="19"/>
  <c r="A11" i="19"/>
  <c r="B10" i="19"/>
  <c r="A10" i="19"/>
  <c r="B9" i="19"/>
  <c r="A9" i="19" s="1"/>
  <c r="B8" i="19"/>
  <c r="A8" i="19" s="1"/>
  <c r="B7" i="19"/>
  <c r="A7" i="19"/>
  <c r="B6" i="19"/>
  <c r="A6" i="19"/>
  <c r="A5" i="19"/>
  <c r="B80" i="18"/>
  <c r="A80" i="18"/>
  <c r="B79" i="18"/>
  <c r="A79" i="18"/>
  <c r="B78" i="18"/>
  <c r="A78" i="18" s="1"/>
  <c r="B77" i="18"/>
  <c r="A77" i="18" s="1"/>
  <c r="B76" i="18"/>
  <c r="A76" i="18"/>
  <c r="B75" i="18"/>
  <c r="A75" i="18"/>
  <c r="B74" i="18"/>
  <c r="A74" i="18" s="1"/>
  <c r="B73" i="18"/>
  <c r="A73" i="18"/>
  <c r="B72" i="18"/>
  <c r="A72" i="18"/>
  <c r="B71" i="18"/>
  <c r="A71" i="18"/>
  <c r="B70" i="18"/>
  <c r="A70" i="18" s="1"/>
  <c r="B69" i="18"/>
  <c r="A69" i="18"/>
  <c r="B68" i="18"/>
  <c r="A68" i="18"/>
  <c r="B67" i="18"/>
  <c r="A67" i="18"/>
  <c r="B66" i="18"/>
  <c r="A66" i="18" s="1"/>
  <c r="B65" i="18"/>
  <c r="A65" i="18"/>
  <c r="B64" i="18"/>
  <c r="A64" i="18"/>
  <c r="B63" i="18"/>
  <c r="A63" i="18"/>
  <c r="B62" i="18"/>
  <c r="A62" i="18" s="1"/>
  <c r="B61" i="18"/>
  <c r="A61" i="18"/>
  <c r="B60" i="18"/>
  <c r="A60" i="18"/>
  <c r="B59" i="18"/>
  <c r="A59" i="18"/>
  <c r="B58" i="18"/>
  <c r="A58" i="18" s="1"/>
  <c r="B57" i="18"/>
  <c r="A57" i="18" s="1"/>
  <c r="B56" i="18"/>
  <c r="A56" i="18"/>
  <c r="B55" i="18"/>
  <c r="A55" i="18"/>
  <c r="B54" i="18"/>
  <c r="A54" i="18" s="1"/>
  <c r="B53" i="18"/>
  <c r="A53" i="18"/>
  <c r="B52" i="18"/>
  <c r="A52" i="18"/>
  <c r="B51" i="18"/>
  <c r="A51" i="18"/>
  <c r="B50" i="18"/>
  <c r="A50" i="18" s="1"/>
  <c r="B49" i="18"/>
  <c r="A49" i="18" s="1"/>
  <c r="B48" i="18"/>
  <c r="A48" i="18"/>
  <c r="B47" i="18"/>
  <c r="A47" i="18"/>
  <c r="B46" i="18"/>
  <c r="A46" i="18" s="1"/>
  <c r="B45" i="18"/>
  <c r="A45" i="18" s="1"/>
  <c r="B44" i="18"/>
  <c r="A44" i="18"/>
  <c r="B43" i="18"/>
  <c r="A43" i="18"/>
  <c r="B42" i="18"/>
  <c r="A42" i="18" s="1"/>
  <c r="B41" i="18"/>
  <c r="A41" i="18"/>
  <c r="B40" i="18"/>
  <c r="A40" i="18"/>
  <c r="B39" i="18"/>
  <c r="A39" i="18"/>
  <c r="B38" i="18"/>
  <c r="A38" i="18" s="1"/>
  <c r="B37" i="18"/>
  <c r="A37" i="18"/>
  <c r="B36" i="18"/>
  <c r="A36" i="18"/>
  <c r="B35" i="18"/>
  <c r="A35" i="18"/>
  <c r="B34" i="18"/>
  <c r="A34" i="18" s="1"/>
  <c r="B33" i="18"/>
  <c r="A33" i="18"/>
  <c r="B32" i="18"/>
  <c r="A32" i="18"/>
  <c r="B31" i="18"/>
  <c r="A31" i="18"/>
  <c r="B30" i="18"/>
  <c r="A30" i="18" s="1"/>
  <c r="B29" i="18"/>
  <c r="A29" i="18"/>
  <c r="B28" i="18"/>
  <c r="A28" i="18"/>
  <c r="B27" i="18"/>
  <c r="A27" i="18"/>
  <c r="B26" i="18"/>
  <c r="A26" i="18" s="1"/>
  <c r="B25" i="18"/>
  <c r="A25" i="18" s="1"/>
  <c r="B24" i="18"/>
  <c r="A24" i="18"/>
  <c r="B23" i="18"/>
  <c r="A23" i="18"/>
  <c r="B22" i="18"/>
  <c r="A22" i="18" s="1"/>
  <c r="B21" i="18"/>
  <c r="A21" i="18"/>
  <c r="B20" i="18"/>
  <c r="A20" i="18"/>
  <c r="B19" i="18"/>
  <c r="A19" i="18"/>
  <c r="B18" i="18"/>
  <c r="A18" i="18" s="1"/>
  <c r="B17" i="18"/>
  <c r="A17" i="18" s="1"/>
  <c r="B16" i="18"/>
  <c r="A16" i="18"/>
  <c r="B15" i="18"/>
  <c r="A15" i="18"/>
  <c r="B14" i="18"/>
  <c r="A14" i="18" s="1"/>
  <c r="B13" i="18"/>
  <c r="A13" i="18" s="1"/>
  <c r="B12" i="18"/>
  <c r="A12" i="18"/>
  <c r="B11" i="18"/>
  <c r="A11" i="18"/>
  <c r="B10" i="18"/>
  <c r="A10" i="18" s="1"/>
  <c r="B9" i="18"/>
  <c r="A9" i="18"/>
  <c r="B8" i="18"/>
  <c r="A8" i="18"/>
  <c r="B7" i="18"/>
  <c r="A7" i="18"/>
  <c r="B6" i="18"/>
  <c r="A6" i="18" s="1"/>
  <c r="A5" i="18"/>
  <c r="B80" i="17"/>
  <c r="A80" i="17" s="1"/>
  <c r="B79" i="17"/>
  <c r="A79" i="17" s="1"/>
  <c r="B78" i="17"/>
  <c r="A78" i="17"/>
  <c r="B77" i="17"/>
  <c r="A77" i="17" s="1"/>
  <c r="B76" i="17"/>
  <c r="A76" i="17" s="1"/>
  <c r="B75" i="17"/>
  <c r="A75" i="17"/>
  <c r="B74" i="17"/>
  <c r="A74" i="17" s="1"/>
  <c r="B73" i="17"/>
  <c r="A73" i="17"/>
  <c r="B72" i="17"/>
  <c r="A72" i="17" s="1"/>
  <c r="B71" i="17"/>
  <c r="A71" i="17"/>
  <c r="B70" i="17"/>
  <c r="A70" i="17"/>
  <c r="B69" i="17"/>
  <c r="A69" i="17"/>
  <c r="B68" i="17"/>
  <c r="A68" i="17" s="1"/>
  <c r="B67" i="17"/>
  <c r="A67" i="17" s="1"/>
  <c r="B66" i="17"/>
  <c r="A66" i="17" s="1"/>
  <c r="B65" i="17"/>
  <c r="A65" i="17" s="1"/>
  <c r="B64" i="17"/>
  <c r="A64" i="17" s="1"/>
  <c r="B63" i="17"/>
  <c r="A63" i="17"/>
  <c r="B62" i="17"/>
  <c r="A62" i="17" s="1"/>
  <c r="B61" i="17"/>
  <c r="A61" i="17"/>
  <c r="B60" i="17"/>
  <c r="A60" i="17" s="1"/>
  <c r="B59" i="17"/>
  <c r="A59" i="17" s="1"/>
  <c r="B58" i="17"/>
  <c r="A58" i="17" s="1"/>
  <c r="B57" i="17"/>
  <c r="A57" i="17" s="1"/>
  <c r="B56" i="17"/>
  <c r="A56" i="17" s="1"/>
  <c r="B55" i="17"/>
  <c r="A55" i="17"/>
  <c r="B54" i="17"/>
  <c r="A54" i="17"/>
  <c r="B53" i="17"/>
  <c r="A53" i="17"/>
  <c r="B52" i="17"/>
  <c r="A52" i="17" s="1"/>
  <c r="B51" i="17"/>
  <c r="A51" i="17" s="1"/>
  <c r="B50" i="17"/>
  <c r="A50" i="17" s="1"/>
  <c r="B49" i="17"/>
  <c r="A49" i="17"/>
  <c r="B48" i="17"/>
  <c r="A48" i="17" s="1"/>
  <c r="B47" i="17"/>
  <c r="A47" i="17" s="1"/>
  <c r="B46" i="17"/>
  <c r="A46" i="17"/>
  <c r="B45" i="17"/>
  <c r="A45" i="17" s="1"/>
  <c r="B44" i="17"/>
  <c r="A44" i="17" s="1"/>
  <c r="B43" i="17"/>
  <c r="A43" i="17" s="1"/>
  <c r="B42" i="17"/>
  <c r="A42" i="17" s="1"/>
  <c r="B41" i="17"/>
  <c r="A41" i="17"/>
  <c r="B40" i="17"/>
  <c r="A40" i="17" s="1"/>
  <c r="B39" i="17"/>
  <c r="A39" i="17" s="1"/>
  <c r="B38" i="17"/>
  <c r="A38" i="17" s="1"/>
  <c r="B37" i="17"/>
  <c r="A37" i="17"/>
  <c r="B36" i="17"/>
  <c r="A36" i="17"/>
  <c r="B35" i="17"/>
  <c r="A35" i="17"/>
  <c r="B34" i="17"/>
  <c r="A34" i="17" s="1"/>
  <c r="B33" i="17"/>
  <c r="A33" i="17" s="1"/>
  <c r="B32" i="17"/>
  <c r="A32" i="17" s="1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/>
  <c r="B23" i="17"/>
  <c r="A23" i="17"/>
  <c r="B22" i="17"/>
  <c r="A22" i="17" s="1"/>
  <c r="B21" i="17"/>
  <c r="A21" i="17"/>
  <c r="B20" i="17"/>
  <c r="A20" i="17" s="1"/>
  <c r="B19" i="17"/>
  <c r="A19" i="17" s="1"/>
  <c r="B18" i="17"/>
  <c r="A18" i="17" s="1"/>
  <c r="B17" i="17"/>
  <c r="A17" i="17" s="1"/>
  <c r="B16" i="17"/>
  <c r="A16" i="17"/>
  <c r="B15" i="17"/>
  <c r="A15" i="17" s="1"/>
  <c r="B14" i="17"/>
  <c r="A14" i="17" s="1"/>
  <c r="B13" i="17"/>
  <c r="A13" i="17"/>
  <c r="B12" i="17"/>
  <c r="A12" i="17"/>
  <c r="B11" i="17"/>
  <c r="A11" i="17"/>
  <c r="B10" i="17"/>
  <c r="A10" i="17" s="1"/>
  <c r="B9" i="17"/>
  <c r="A9" i="17" s="1"/>
  <c r="B8" i="17"/>
  <c r="A8" i="17" s="1"/>
  <c r="B7" i="17"/>
  <c r="A7" i="17"/>
  <c r="B6" i="17"/>
  <c r="A6" i="17" s="1"/>
  <c r="A5" i="17"/>
  <c r="B80" i="16"/>
  <c r="A80" i="16"/>
  <c r="B79" i="16"/>
  <c r="A79" i="16" s="1"/>
  <c r="B78" i="16"/>
  <c r="A78" i="16" s="1"/>
  <c r="B77" i="16"/>
  <c r="A77" i="16"/>
  <c r="B76" i="16"/>
  <c r="A76" i="16" s="1"/>
  <c r="B75" i="16"/>
  <c r="A75" i="16" s="1"/>
  <c r="B74" i="16"/>
  <c r="A74" i="16"/>
  <c r="B73" i="16"/>
  <c r="A73" i="16"/>
  <c r="B72" i="16"/>
  <c r="A72" i="16" s="1"/>
  <c r="B71" i="16"/>
  <c r="A71" i="16" s="1"/>
  <c r="B70" i="16"/>
  <c r="A70" i="16" s="1"/>
  <c r="B69" i="16"/>
  <c r="A69" i="16"/>
  <c r="B68" i="16"/>
  <c r="A68" i="16" s="1"/>
  <c r="B67" i="16"/>
  <c r="A67" i="16" s="1"/>
  <c r="B66" i="16"/>
  <c r="A66" i="16"/>
  <c r="B65" i="16"/>
  <c r="A65" i="16"/>
  <c r="B64" i="16"/>
  <c r="A64" i="16"/>
  <c r="B63" i="16"/>
  <c r="A63" i="16" s="1"/>
  <c r="B62" i="16"/>
  <c r="A62" i="16" s="1"/>
  <c r="B61" i="16"/>
  <c r="A61" i="16"/>
  <c r="B60" i="16"/>
  <c r="A60" i="16" s="1"/>
  <c r="B59" i="16"/>
  <c r="A59" i="16" s="1"/>
  <c r="B58" i="16"/>
  <c r="A58" i="16" s="1"/>
  <c r="B57" i="16"/>
  <c r="A57" i="16"/>
  <c r="B56" i="16"/>
  <c r="A56" i="16"/>
  <c r="B55" i="16"/>
  <c r="A55" i="16" s="1"/>
  <c r="B54" i="16"/>
  <c r="A54" i="16" s="1"/>
  <c r="B53" i="16"/>
  <c r="A53" i="16"/>
  <c r="B52" i="16"/>
  <c r="A52" i="16" s="1"/>
  <c r="B51" i="16"/>
  <c r="A51" i="16" s="1"/>
  <c r="B50" i="16"/>
  <c r="A50" i="16"/>
  <c r="B49" i="16"/>
  <c r="A49" i="16"/>
  <c r="B48" i="16"/>
  <c r="A48" i="16"/>
  <c r="B47" i="16"/>
  <c r="A47" i="16" s="1"/>
  <c r="B46" i="16"/>
  <c r="A46" i="16" s="1"/>
  <c r="B45" i="16"/>
  <c r="A45" i="16"/>
  <c r="B44" i="16"/>
  <c r="A44" i="16" s="1"/>
  <c r="B43" i="16"/>
  <c r="A43" i="16" s="1"/>
  <c r="B42" i="16"/>
  <c r="A42" i="16"/>
  <c r="B41" i="16"/>
  <c r="A41" i="16"/>
  <c r="B40" i="16"/>
  <c r="A40" i="16"/>
  <c r="B39" i="16"/>
  <c r="A39" i="16" s="1"/>
  <c r="B38" i="16"/>
  <c r="A38" i="16" s="1"/>
  <c r="B37" i="16"/>
  <c r="A37" i="16"/>
  <c r="B36" i="16"/>
  <c r="A36" i="16"/>
  <c r="B35" i="16"/>
  <c r="A35" i="16" s="1"/>
  <c r="B34" i="16"/>
  <c r="A34" i="16" s="1"/>
  <c r="B33" i="16"/>
  <c r="A33" i="16"/>
  <c r="B32" i="16"/>
  <c r="A32" i="16"/>
  <c r="B31" i="16"/>
  <c r="A31" i="16" s="1"/>
  <c r="B30" i="16"/>
  <c r="A30" i="16"/>
  <c r="B29" i="16"/>
  <c r="A29" i="16"/>
  <c r="B28" i="16"/>
  <c r="A28" i="16" s="1"/>
  <c r="B27" i="16"/>
  <c r="A27" i="16" s="1"/>
  <c r="B26" i="16"/>
  <c r="A26" i="16"/>
  <c r="B25" i="16"/>
  <c r="A25" i="16"/>
  <c r="B24" i="16"/>
  <c r="A24" i="16"/>
  <c r="B23" i="16"/>
  <c r="A23" i="16" s="1"/>
  <c r="B22" i="16"/>
  <c r="A22" i="16"/>
  <c r="B21" i="16"/>
  <c r="A21" i="16"/>
  <c r="B20" i="16"/>
  <c r="A20" i="16" s="1"/>
  <c r="B19" i="16"/>
  <c r="A19" i="16" s="1"/>
  <c r="B18" i="16"/>
  <c r="A18" i="16"/>
  <c r="B17" i="16"/>
  <c r="A17" i="16"/>
  <c r="B16" i="16"/>
  <c r="A16" i="16"/>
  <c r="B15" i="16"/>
  <c r="A15" i="16" s="1"/>
  <c r="B14" i="16"/>
  <c r="A14" i="16" s="1"/>
  <c r="B13" i="16"/>
  <c r="A13" i="16"/>
  <c r="B12" i="16"/>
  <c r="A12" i="16"/>
  <c r="B11" i="16"/>
  <c r="A11" i="16" s="1"/>
  <c r="B10" i="16"/>
  <c r="A10" i="16"/>
  <c r="B9" i="16"/>
  <c r="A9" i="16"/>
  <c r="B8" i="16"/>
  <c r="A8" i="16" s="1"/>
  <c r="B7" i="16"/>
  <c r="A7" i="16" s="1"/>
  <c r="B6" i="16"/>
  <c r="A6" i="16" s="1"/>
  <c r="A5" i="16"/>
  <c r="B80" i="15"/>
  <c r="A80" i="15"/>
  <c r="B79" i="15"/>
  <c r="A79" i="15"/>
  <c r="B78" i="15"/>
  <c r="A78" i="15"/>
  <c r="B77" i="15"/>
  <c r="A77" i="15" s="1"/>
  <c r="B76" i="15"/>
  <c r="A76" i="15" s="1"/>
  <c r="B75" i="15"/>
  <c r="A75" i="15" s="1"/>
  <c r="B74" i="15"/>
  <c r="A74" i="15" s="1"/>
  <c r="B73" i="15"/>
  <c r="A73" i="15" s="1"/>
  <c r="B72" i="15"/>
  <c r="A72" i="15"/>
  <c r="B71" i="15"/>
  <c r="A71" i="15"/>
  <c r="B70" i="15"/>
  <c r="A70" i="15" s="1"/>
  <c r="B69" i="15"/>
  <c r="A69" i="15"/>
  <c r="B68" i="15"/>
  <c r="A68" i="15" s="1"/>
  <c r="B67" i="15"/>
  <c r="A67" i="15" s="1"/>
  <c r="B66" i="15"/>
  <c r="A66" i="15" s="1"/>
  <c r="B65" i="15"/>
  <c r="A65" i="15"/>
  <c r="B64" i="15"/>
  <c r="A64" i="15" s="1"/>
  <c r="B63" i="15"/>
  <c r="A63" i="15"/>
  <c r="B62" i="15"/>
  <c r="A62" i="15" s="1"/>
  <c r="B61" i="15"/>
  <c r="A61" i="15"/>
  <c r="B60" i="15"/>
  <c r="A60" i="15" s="1"/>
  <c r="B59" i="15"/>
  <c r="A59" i="15" s="1"/>
  <c r="B58" i="15"/>
  <c r="A58" i="15" s="1"/>
  <c r="B57" i="15"/>
  <c r="A57" i="15"/>
  <c r="B56" i="15"/>
  <c r="A56" i="15"/>
  <c r="B55" i="15"/>
  <c r="A55" i="15" s="1"/>
  <c r="B54" i="15"/>
  <c r="A54" i="15" s="1"/>
  <c r="B53" i="15"/>
  <c r="A53" i="15" s="1"/>
  <c r="B52" i="15"/>
  <c r="A52" i="15"/>
  <c r="B51" i="15"/>
  <c r="A51" i="15"/>
  <c r="B50" i="15"/>
  <c r="A50" i="15" s="1"/>
  <c r="B49" i="15"/>
  <c r="A49" i="15"/>
  <c r="B48" i="15"/>
  <c r="A48" i="15"/>
  <c r="B47" i="15"/>
  <c r="A47" i="15"/>
  <c r="B46" i="15"/>
  <c r="A46" i="15" s="1"/>
  <c r="B45" i="15"/>
  <c r="A45" i="15" s="1"/>
  <c r="B44" i="15"/>
  <c r="A44" i="15" s="1"/>
  <c r="B43" i="15"/>
  <c r="A43" i="15"/>
  <c r="B42" i="15"/>
  <c r="A42" i="15" s="1"/>
  <c r="B41" i="15"/>
  <c r="A41" i="15"/>
  <c r="B40" i="15"/>
  <c r="A40" i="15"/>
  <c r="B39" i="15"/>
  <c r="A39" i="15"/>
  <c r="B38" i="15"/>
  <c r="A38" i="15" s="1"/>
  <c r="B37" i="15"/>
  <c r="A37" i="15"/>
  <c r="B36" i="15"/>
  <c r="A36" i="15" s="1"/>
  <c r="B35" i="15"/>
  <c r="A35" i="15" s="1"/>
  <c r="B34" i="15"/>
  <c r="A34" i="15" s="1"/>
  <c r="B33" i="15"/>
  <c r="A33" i="15" s="1"/>
  <c r="B32" i="15"/>
  <c r="A32" i="15" s="1"/>
  <c r="B31" i="15"/>
  <c r="A31" i="15"/>
  <c r="B30" i="15"/>
  <c r="A30" i="15" s="1"/>
  <c r="B29" i="15"/>
  <c r="A29" i="15" s="1"/>
  <c r="B28" i="15"/>
  <c r="A28" i="15"/>
  <c r="B27" i="15"/>
  <c r="A27" i="15" s="1"/>
  <c r="B26" i="15"/>
  <c r="A26" i="15" s="1"/>
  <c r="B25" i="15"/>
  <c r="A25" i="15"/>
  <c r="B24" i="15"/>
  <c r="A24" i="15" s="1"/>
  <c r="B23" i="15"/>
  <c r="A23" i="15"/>
  <c r="B22" i="15"/>
  <c r="A22" i="15" s="1"/>
  <c r="B21" i="15"/>
  <c r="A21" i="15" s="1"/>
  <c r="B20" i="15"/>
  <c r="A20" i="15"/>
  <c r="B19" i="15"/>
  <c r="A19" i="15" s="1"/>
  <c r="B18" i="15"/>
  <c r="A18" i="15" s="1"/>
  <c r="B17" i="15"/>
  <c r="A17" i="15"/>
  <c r="B16" i="15"/>
  <c r="A16" i="15"/>
  <c r="B15" i="15"/>
  <c r="A15" i="15"/>
  <c r="B14" i="15"/>
  <c r="A14" i="15" s="1"/>
  <c r="B13" i="15"/>
  <c r="A13" i="15" s="1"/>
  <c r="B12" i="15"/>
  <c r="A12" i="15" s="1"/>
  <c r="B11" i="15"/>
  <c r="A11" i="15"/>
  <c r="B10" i="15"/>
  <c r="A10" i="15" s="1"/>
  <c r="B9" i="15"/>
  <c r="A9" i="15"/>
  <c r="B8" i="15"/>
  <c r="A8" i="15"/>
  <c r="B7" i="15"/>
  <c r="A7" i="15"/>
  <c r="B6" i="15"/>
  <c r="A6" i="15" s="1"/>
  <c r="A5" i="15"/>
  <c r="B80" i="14"/>
  <c r="A80" i="14"/>
  <c r="B79" i="14"/>
  <c r="A79" i="14"/>
  <c r="B78" i="14"/>
  <c r="A78" i="14"/>
  <c r="B77" i="14"/>
  <c r="A77" i="14"/>
  <c r="B76" i="14"/>
  <c r="A76" i="14"/>
  <c r="B75" i="14"/>
  <c r="A75" i="14"/>
  <c r="B74" i="14"/>
  <c r="A74" i="14"/>
  <c r="B73" i="14"/>
  <c r="A73" i="14"/>
  <c r="B72" i="14"/>
  <c r="A72" i="14"/>
  <c r="B71" i="14"/>
  <c r="A71" i="14"/>
  <c r="B70" i="14"/>
  <c r="A70" i="14"/>
  <c r="B69" i="14"/>
  <c r="A69" i="14"/>
  <c r="B68" i="14"/>
  <c r="A68" i="14"/>
  <c r="B67" i="14"/>
  <c r="A67" i="14"/>
  <c r="B66" i="14"/>
  <c r="A66" i="14"/>
  <c r="B65" i="14"/>
  <c r="A65" i="14"/>
  <c r="B64" i="14"/>
  <c r="A64" i="14"/>
  <c r="B63" i="14"/>
  <c r="A63" i="14"/>
  <c r="B62" i="14"/>
  <c r="A62" i="14"/>
  <c r="B61" i="14"/>
  <c r="A61" i="14"/>
  <c r="B60" i="14"/>
  <c r="A60" i="14"/>
  <c r="B59" i="14"/>
  <c r="A59" i="14"/>
  <c r="B58" i="14"/>
  <c r="A58" i="14"/>
  <c r="B57" i="14"/>
  <c r="A57" i="14"/>
  <c r="B56" i="14"/>
  <c r="A56" i="14"/>
  <c r="B55" i="14"/>
  <c r="A55" i="14"/>
  <c r="B54" i="14"/>
  <c r="A54" i="14"/>
  <c r="B53" i="14"/>
  <c r="A53" i="14"/>
  <c r="B52" i="14"/>
  <c r="A52" i="14"/>
  <c r="B51" i="14"/>
  <c r="A51" i="14"/>
  <c r="B50" i="14"/>
  <c r="A50" i="14"/>
  <c r="B49" i="14"/>
  <c r="A49" i="14"/>
  <c r="B48" i="14"/>
  <c r="A48" i="14"/>
  <c r="B47" i="14"/>
  <c r="A47" i="14"/>
  <c r="B46" i="14"/>
  <c r="A46" i="14"/>
  <c r="B45" i="14"/>
  <c r="A45" i="14"/>
  <c r="B44" i="14"/>
  <c r="A44" i="14"/>
  <c r="B43" i="14"/>
  <c r="A43" i="14"/>
  <c r="B42" i="14"/>
  <c r="A42" i="14"/>
  <c r="B41" i="14"/>
  <c r="A41" i="14"/>
  <c r="B40" i="14"/>
  <c r="A40" i="14"/>
  <c r="B39" i="14"/>
  <c r="A39" i="14"/>
  <c r="B38" i="14"/>
  <c r="A38" i="14"/>
  <c r="B37" i="14"/>
  <c r="A37" i="14"/>
  <c r="B36" i="14"/>
  <c r="A36" i="14"/>
  <c r="B35" i="14"/>
  <c r="A35" i="14"/>
  <c r="B34" i="14"/>
  <c r="A34" i="14"/>
  <c r="B33" i="14"/>
  <c r="A33" i="14"/>
  <c r="B32" i="14"/>
  <c r="A32" i="14"/>
  <c r="B31" i="14"/>
  <c r="A31" i="14"/>
  <c r="B30" i="14"/>
  <c r="A30" i="14"/>
  <c r="B29" i="14"/>
  <c r="A29" i="14"/>
  <c r="B28" i="14"/>
  <c r="A28" i="14"/>
  <c r="B27" i="14"/>
  <c r="A27" i="14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A5" i="14"/>
  <c r="B80" i="13"/>
  <c r="A80" i="13"/>
  <c r="B79" i="13"/>
  <c r="A79" i="13" s="1"/>
  <c r="B78" i="13"/>
  <c r="A78" i="13" s="1"/>
  <c r="B77" i="13"/>
  <c r="A77" i="13" s="1"/>
  <c r="B76" i="13"/>
  <c r="A76" i="13"/>
  <c r="B75" i="13"/>
  <c r="A75" i="13"/>
  <c r="B74" i="13"/>
  <c r="A74" i="13"/>
  <c r="B73" i="13"/>
  <c r="A73" i="13" s="1"/>
  <c r="B72" i="13"/>
  <c r="A72" i="13"/>
  <c r="B71" i="13"/>
  <c r="A71" i="13"/>
  <c r="B70" i="13"/>
  <c r="A70" i="13" s="1"/>
  <c r="B69" i="13"/>
  <c r="A69" i="13" s="1"/>
  <c r="B68" i="13"/>
  <c r="A68" i="13"/>
  <c r="B67" i="13"/>
  <c r="A67" i="13"/>
  <c r="B66" i="13"/>
  <c r="A66" i="13"/>
  <c r="B65" i="13"/>
  <c r="A65" i="13" s="1"/>
  <c r="B64" i="13"/>
  <c r="A64" i="13" s="1"/>
  <c r="B63" i="13"/>
  <c r="A63" i="13" s="1"/>
  <c r="B62" i="13"/>
  <c r="A62" i="13"/>
  <c r="B61" i="13"/>
  <c r="A61" i="13" s="1"/>
  <c r="B60" i="13"/>
  <c r="A60" i="13"/>
  <c r="B59" i="13"/>
  <c r="A59" i="13"/>
  <c r="B58" i="13"/>
  <c r="A58" i="13" s="1"/>
  <c r="B57" i="13"/>
  <c r="A57" i="13" s="1"/>
  <c r="B56" i="13"/>
  <c r="A56" i="13" s="1"/>
  <c r="B55" i="13"/>
  <c r="A55" i="13" s="1"/>
  <c r="B54" i="13"/>
  <c r="A54" i="13"/>
  <c r="B53" i="13"/>
  <c r="A53" i="13" s="1"/>
  <c r="B52" i="13"/>
  <c r="A52" i="13" s="1"/>
  <c r="B51" i="13"/>
  <c r="A51" i="13"/>
  <c r="B50" i="13"/>
  <c r="A50" i="13"/>
  <c r="B49" i="13"/>
  <c r="A49" i="13" s="1"/>
  <c r="B48" i="13"/>
  <c r="A48" i="13" s="1"/>
  <c r="B47" i="13"/>
  <c r="A47" i="13" s="1"/>
  <c r="B46" i="13"/>
  <c r="A46" i="13" s="1"/>
  <c r="B45" i="13"/>
  <c r="A45" i="13" s="1"/>
  <c r="B44" i="13"/>
  <c r="A44" i="13"/>
  <c r="B43" i="13"/>
  <c r="A43" i="13"/>
  <c r="B42" i="13"/>
  <c r="A42" i="13"/>
  <c r="B41" i="13"/>
  <c r="A41" i="13" s="1"/>
  <c r="B40" i="13"/>
  <c r="A40" i="13"/>
  <c r="B39" i="13"/>
  <c r="A39" i="13"/>
  <c r="B38" i="13"/>
  <c r="A38" i="13" s="1"/>
  <c r="B37" i="13"/>
  <c r="A37" i="13" s="1"/>
  <c r="B36" i="13"/>
  <c r="A36" i="13"/>
  <c r="B35" i="13"/>
  <c r="A35" i="13"/>
  <c r="B34" i="13"/>
  <c r="A34" i="13"/>
  <c r="B33" i="13"/>
  <c r="A33" i="13" s="1"/>
  <c r="B32" i="13"/>
  <c r="A32" i="13" s="1"/>
  <c r="B31" i="13"/>
  <c r="A31" i="13"/>
  <c r="B30" i="13"/>
  <c r="A30" i="13"/>
  <c r="B29" i="13"/>
  <c r="A29" i="13" s="1"/>
  <c r="B28" i="13"/>
  <c r="A28" i="13"/>
  <c r="B27" i="13"/>
  <c r="A27" i="13"/>
  <c r="B26" i="13"/>
  <c r="A26" i="13"/>
  <c r="B25" i="13"/>
  <c r="A25" i="13" s="1"/>
  <c r="B24" i="13"/>
  <c r="A24" i="13" s="1"/>
  <c r="B23" i="13"/>
  <c r="A23" i="13" s="1"/>
  <c r="B22" i="13"/>
  <c r="A22" i="13" s="1"/>
  <c r="B21" i="13"/>
  <c r="A21" i="13" s="1"/>
  <c r="B20" i="13"/>
  <c r="A20" i="13"/>
  <c r="B19" i="13"/>
  <c r="A19" i="13"/>
  <c r="B18" i="13"/>
  <c r="A18" i="13"/>
  <c r="B17" i="13"/>
  <c r="A17" i="13" s="1"/>
  <c r="B16" i="13"/>
  <c r="A16" i="13"/>
  <c r="B15" i="13"/>
  <c r="A15" i="13" s="1"/>
  <c r="B14" i="13"/>
  <c r="A14" i="13" s="1"/>
  <c r="B13" i="13"/>
  <c r="A13" i="13" s="1"/>
  <c r="B12" i="13"/>
  <c r="A12" i="13"/>
  <c r="B11" i="13"/>
  <c r="A11" i="13" s="1"/>
  <c r="B10" i="13"/>
  <c r="A10" i="13"/>
  <c r="B9" i="13"/>
  <c r="A9" i="13" s="1"/>
  <c r="B8" i="13"/>
  <c r="A8" i="13"/>
  <c r="B7" i="13"/>
  <c r="A7" i="13" s="1"/>
  <c r="B6" i="13"/>
  <c r="A6" i="13" s="1"/>
  <c r="A5" i="13"/>
  <c r="B80" i="12"/>
  <c r="A80" i="12"/>
  <c r="B79" i="12"/>
  <c r="A79" i="12"/>
  <c r="B78" i="12"/>
  <c r="A78" i="12" s="1"/>
  <c r="B77" i="12"/>
  <c r="A77" i="12"/>
  <c r="B76" i="12"/>
  <c r="A76" i="12"/>
  <c r="B75" i="12"/>
  <c r="A75" i="12"/>
  <c r="B74" i="12"/>
  <c r="A74" i="12" s="1"/>
  <c r="B73" i="12"/>
  <c r="A73" i="12"/>
  <c r="B72" i="12"/>
  <c r="A72" i="12"/>
  <c r="B71" i="12"/>
  <c r="A71" i="12"/>
  <c r="B70" i="12"/>
  <c r="A70" i="12" s="1"/>
  <c r="B69" i="12"/>
  <c r="A69" i="12"/>
  <c r="B68" i="12"/>
  <c r="A68" i="12"/>
  <c r="B67" i="12"/>
  <c r="A67" i="12"/>
  <c r="B66" i="12"/>
  <c r="A66" i="12" s="1"/>
  <c r="B65" i="12"/>
  <c r="A65" i="12"/>
  <c r="B64" i="12"/>
  <c r="A64" i="12"/>
  <c r="B63" i="12"/>
  <c r="A63" i="12"/>
  <c r="B62" i="12"/>
  <c r="A62" i="12" s="1"/>
  <c r="B61" i="12"/>
  <c r="A61" i="12"/>
  <c r="B60" i="12"/>
  <c r="A60" i="12"/>
  <c r="B59" i="12"/>
  <c r="A59" i="12"/>
  <c r="B58" i="12"/>
  <c r="A58" i="12" s="1"/>
  <c r="B57" i="12"/>
  <c r="A57" i="12"/>
  <c r="B56" i="12"/>
  <c r="A56" i="12"/>
  <c r="B55" i="12"/>
  <c r="A55" i="12"/>
  <c r="B54" i="12"/>
  <c r="A54" i="12" s="1"/>
  <c r="B53" i="12"/>
  <c r="A53" i="12"/>
  <c r="B52" i="12"/>
  <c r="A52" i="12"/>
  <c r="B51" i="12"/>
  <c r="A51" i="12"/>
  <c r="B50" i="12"/>
  <c r="A50" i="12" s="1"/>
  <c r="B49" i="12"/>
  <c r="A49" i="12"/>
  <c r="B48" i="12"/>
  <c r="A48" i="12"/>
  <c r="B47" i="12"/>
  <c r="A47" i="12"/>
  <c r="B46" i="12"/>
  <c r="A46" i="12" s="1"/>
  <c r="B45" i="12"/>
  <c r="A45" i="12"/>
  <c r="B44" i="12"/>
  <c r="A44" i="12"/>
  <c r="B43" i="12"/>
  <c r="A43" i="12"/>
  <c r="B42" i="12"/>
  <c r="A42" i="12" s="1"/>
  <c r="B41" i="12"/>
  <c r="A41" i="12"/>
  <c r="B40" i="12"/>
  <c r="A40" i="12"/>
  <c r="B39" i="12"/>
  <c r="A39" i="12"/>
  <c r="B38" i="12"/>
  <c r="A38" i="12" s="1"/>
  <c r="B37" i="12"/>
  <c r="A37" i="12"/>
  <c r="B36" i="12"/>
  <c r="A36" i="12"/>
  <c r="B35" i="12"/>
  <c r="A35" i="12"/>
  <c r="B34" i="12"/>
  <c r="A34" i="12" s="1"/>
  <c r="B33" i="12"/>
  <c r="A33" i="12"/>
  <c r="B32" i="12"/>
  <c r="A32" i="12"/>
  <c r="B31" i="12"/>
  <c r="A31" i="12"/>
  <c r="B30" i="12"/>
  <c r="A30" i="12" s="1"/>
  <c r="B29" i="12"/>
  <c r="A29" i="12"/>
  <c r="B28" i="12"/>
  <c r="A28" i="12"/>
  <c r="B27" i="12"/>
  <c r="A27" i="12"/>
  <c r="B26" i="12"/>
  <c r="A26" i="12" s="1"/>
  <c r="B25" i="12"/>
  <c r="A25" i="12"/>
  <c r="B24" i="12"/>
  <c r="A24" i="12"/>
  <c r="B23" i="12"/>
  <c r="A23" i="12"/>
  <c r="B22" i="12"/>
  <c r="A22" i="12" s="1"/>
  <c r="B21" i="12"/>
  <c r="A21" i="12"/>
  <c r="B20" i="12"/>
  <c r="A20" i="12"/>
  <c r="B19" i="12"/>
  <c r="A19" i="12"/>
  <c r="B18" i="12"/>
  <c r="A18" i="12" s="1"/>
  <c r="B17" i="12"/>
  <c r="A17" i="12"/>
  <c r="B16" i="12"/>
  <c r="A16" i="12"/>
  <c r="B15" i="12"/>
  <c r="A15" i="12"/>
  <c r="B14" i="12"/>
  <c r="A14" i="12" s="1"/>
  <c r="B13" i="12"/>
  <c r="A13" i="12"/>
  <c r="B12" i="12"/>
  <c r="A12" i="12"/>
  <c r="B11" i="12"/>
  <c r="A11" i="12"/>
  <c r="B10" i="12"/>
  <c r="A10" i="12" s="1"/>
  <c r="B9" i="12"/>
  <c r="A9" i="12"/>
  <c r="B8" i="12"/>
  <c r="A8" i="12"/>
  <c r="B7" i="12"/>
  <c r="A7" i="12"/>
  <c r="B6" i="12"/>
  <c r="A6" i="12" s="1"/>
  <c r="A5" i="12"/>
  <c r="B80" i="11"/>
  <c r="A80" i="11" s="1"/>
  <c r="B79" i="11"/>
  <c r="A79" i="11"/>
  <c r="B78" i="11"/>
  <c r="A78" i="11"/>
  <c r="B77" i="11"/>
  <c r="A77" i="11" s="1"/>
  <c r="B76" i="11"/>
  <c r="A76" i="11" s="1"/>
  <c r="B75" i="11"/>
  <c r="A75" i="11" s="1"/>
  <c r="B74" i="11"/>
  <c r="A74" i="11"/>
  <c r="B73" i="11"/>
  <c r="A73" i="11"/>
  <c r="B72" i="11"/>
  <c r="A72" i="11" s="1"/>
  <c r="B71" i="11"/>
  <c r="A71" i="11"/>
  <c r="B70" i="11"/>
  <c r="A70" i="11"/>
  <c r="B69" i="11"/>
  <c r="A69" i="11"/>
  <c r="B68" i="11"/>
  <c r="A68" i="11" s="1"/>
  <c r="B67" i="11"/>
  <c r="A67" i="11" s="1"/>
  <c r="B66" i="11"/>
  <c r="A66" i="11" s="1"/>
  <c r="B65" i="11"/>
  <c r="A65" i="11"/>
  <c r="B64" i="11"/>
  <c r="A64" i="11" s="1"/>
  <c r="B63" i="11"/>
  <c r="A63" i="11"/>
  <c r="B62" i="11"/>
  <c r="A62" i="11"/>
  <c r="B61" i="11"/>
  <c r="A61" i="11"/>
  <c r="B60" i="11"/>
  <c r="A60" i="11" s="1"/>
  <c r="B59" i="11"/>
  <c r="A59" i="11"/>
  <c r="B58" i="11"/>
  <c r="A58" i="11" s="1"/>
  <c r="B57" i="11"/>
  <c r="A57" i="11" s="1"/>
  <c r="B56" i="11"/>
  <c r="A56" i="11" s="1"/>
  <c r="B55" i="11"/>
  <c r="A55" i="11" s="1"/>
  <c r="B54" i="11"/>
  <c r="A54" i="11" s="1"/>
  <c r="B53" i="11"/>
  <c r="A53" i="11"/>
  <c r="B52" i="11"/>
  <c r="A52" i="11" s="1"/>
  <c r="B51" i="11"/>
  <c r="A51" i="11" s="1"/>
  <c r="B50" i="11"/>
  <c r="A50" i="11"/>
  <c r="B49" i="11"/>
  <c r="A49" i="11" s="1"/>
  <c r="B48" i="11"/>
  <c r="A48" i="11" s="1"/>
  <c r="B47" i="11"/>
  <c r="A47" i="11"/>
  <c r="B46" i="11"/>
  <c r="A46" i="11" s="1"/>
  <c r="B45" i="11"/>
  <c r="A45" i="11"/>
  <c r="B44" i="11"/>
  <c r="A44" i="11" s="1"/>
  <c r="B43" i="11"/>
  <c r="A43" i="11" s="1"/>
  <c r="B42" i="11"/>
  <c r="A42" i="11"/>
  <c r="B41" i="11"/>
  <c r="A41" i="11" s="1"/>
  <c r="B40" i="11"/>
  <c r="A40" i="11" s="1"/>
  <c r="B39" i="11"/>
  <c r="A39" i="11"/>
  <c r="B38" i="11"/>
  <c r="A38" i="11"/>
  <c r="B37" i="11"/>
  <c r="A37" i="11"/>
  <c r="B36" i="11"/>
  <c r="A36" i="11" s="1"/>
  <c r="B35" i="11"/>
  <c r="A35" i="11" s="1"/>
  <c r="B34" i="11"/>
  <c r="A34" i="11" s="1"/>
  <c r="B33" i="11"/>
  <c r="A33" i="11"/>
  <c r="B32" i="11"/>
  <c r="A32" i="11" s="1"/>
  <c r="B31" i="11"/>
  <c r="A31" i="11"/>
  <c r="B30" i="11"/>
  <c r="A30" i="11"/>
  <c r="B29" i="11"/>
  <c r="A29" i="11"/>
  <c r="B28" i="11"/>
  <c r="A28" i="11" s="1"/>
  <c r="B27" i="11"/>
  <c r="A27" i="11"/>
  <c r="B26" i="11"/>
  <c r="A26" i="11" s="1"/>
  <c r="B25" i="11"/>
  <c r="A25" i="11" s="1"/>
  <c r="B24" i="11"/>
  <c r="A24" i="11" s="1"/>
  <c r="B23" i="11"/>
  <c r="A23" i="11" s="1"/>
  <c r="B22" i="11"/>
  <c r="A22" i="11"/>
  <c r="B21" i="11"/>
  <c r="A21" i="11"/>
  <c r="B20" i="11"/>
  <c r="A20" i="11" s="1"/>
  <c r="B19" i="11"/>
  <c r="A19" i="11"/>
  <c r="B18" i="11"/>
  <c r="A18" i="11"/>
  <c r="B17" i="11"/>
  <c r="A17" i="11" s="1"/>
  <c r="B16" i="11"/>
  <c r="A16" i="11" s="1"/>
  <c r="B15" i="11"/>
  <c r="A15" i="11"/>
  <c r="B14" i="11"/>
  <c r="A14" i="11"/>
  <c r="B13" i="11"/>
  <c r="A13" i="11"/>
  <c r="B12" i="11"/>
  <c r="A12" i="11" s="1"/>
  <c r="B11" i="11"/>
  <c r="A11" i="11" s="1"/>
  <c r="B10" i="11"/>
  <c r="A10" i="11" s="1"/>
  <c r="B9" i="11"/>
  <c r="A9" i="11"/>
  <c r="B8" i="11"/>
  <c r="A8" i="11" s="1"/>
  <c r="B7" i="11"/>
  <c r="A7" i="11"/>
  <c r="B6" i="11"/>
  <c r="A6" i="11"/>
  <c r="A5" i="11"/>
  <c r="B80" i="10"/>
  <c r="A80" i="10"/>
  <c r="B79" i="10"/>
  <c r="A79" i="10"/>
  <c r="B78" i="10"/>
  <c r="A78" i="10" s="1"/>
  <c r="B77" i="10"/>
  <c r="A77" i="10"/>
  <c r="B76" i="10"/>
  <c r="A76" i="10" s="1"/>
  <c r="B75" i="10"/>
  <c r="A75" i="10"/>
  <c r="B74" i="10"/>
  <c r="A74" i="10" s="1"/>
  <c r="B73" i="10"/>
  <c r="A73" i="10"/>
  <c r="B72" i="10"/>
  <c r="A72" i="10" s="1"/>
  <c r="B71" i="10"/>
  <c r="A71" i="10"/>
  <c r="B70" i="10"/>
  <c r="A70" i="10" s="1"/>
  <c r="B69" i="10"/>
  <c r="A69" i="10"/>
  <c r="B68" i="10"/>
  <c r="A68" i="10"/>
  <c r="B67" i="10"/>
  <c r="A67" i="10"/>
  <c r="B66" i="10"/>
  <c r="A66" i="10" s="1"/>
  <c r="B65" i="10"/>
  <c r="A65" i="10"/>
  <c r="B64" i="10"/>
  <c r="A64" i="10"/>
  <c r="B63" i="10"/>
  <c r="A63" i="10"/>
  <c r="B62" i="10"/>
  <c r="A62" i="10" s="1"/>
  <c r="B61" i="10"/>
  <c r="A61" i="10" s="1"/>
  <c r="B60" i="10"/>
  <c r="A60" i="10"/>
  <c r="B59" i="10"/>
  <c r="A59" i="10"/>
  <c r="B58" i="10"/>
  <c r="A58" i="10" s="1"/>
  <c r="B57" i="10"/>
  <c r="A57" i="10"/>
  <c r="B56" i="10"/>
  <c r="A56" i="10"/>
  <c r="B55" i="10"/>
  <c r="A55" i="10"/>
  <c r="B54" i="10"/>
  <c r="A54" i="10" s="1"/>
  <c r="B53" i="10"/>
  <c r="A53" i="10" s="1"/>
  <c r="B52" i="10"/>
  <c r="A52" i="10" s="1"/>
  <c r="B51" i="10"/>
  <c r="A51" i="10"/>
  <c r="B50" i="10"/>
  <c r="A50" i="10" s="1"/>
  <c r="B49" i="10"/>
  <c r="A49" i="10" s="1"/>
  <c r="B48" i="10"/>
  <c r="A48" i="10"/>
  <c r="B47" i="10"/>
  <c r="A47" i="10"/>
  <c r="B46" i="10"/>
  <c r="A46" i="10" s="1"/>
  <c r="B45" i="10"/>
  <c r="A45" i="10"/>
  <c r="B44" i="10"/>
  <c r="A44" i="10" s="1"/>
  <c r="B43" i="10"/>
  <c r="A43" i="10"/>
  <c r="B42" i="10"/>
  <c r="A42" i="10" s="1"/>
  <c r="B41" i="10"/>
  <c r="A41" i="10"/>
  <c r="B40" i="10"/>
  <c r="A40" i="10" s="1"/>
  <c r="B39" i="10"/>
  <c r="A39" i="10"/>
  <c r="B38" i="10"/>
  <c r="A38" i="10" s="1"/>
  <c r="B37" i="10"/>
  <c r="A37" i="10"/>
  <c r="B36" i="10"/>
  <c r="A36" i="10"/>
  <c r="B35" i="10"/>
  <c r="A35" i="10"/>
  <c r="B34" i="10"/>
  <c r="A34" i="10" s="1"/>
  <c r="B33" i="10"/>
  <c r="A33" i="10"/>
  <c r="B32" i="10"/>
  <c r="A32" i="10"/>
  <c r="B31" i="10"/>
  <c r="A31" i="10"/>
  <c r="B30" i="10"/>
  <c r="A30" i="10" s="1"/>
  <c r="B29" i="10"/>
  <c r="A29" i="10" s="1"/>
  <c r="B28" i="10"/>
  <c r="A28" i="10"/>
  <c r="B27" i="10"/>
  <c r="A27" i="10"/>
  <c r="B26" i="10"/>
  <c r="A26" i="10" s="1"/>
  <c r="B25" i="10"/>
  <c r="A25" i="10"/>
  <c r="B24" i="10"/>
  <c r="A24" i="10"/>
  <c r="B23" i="10"/>
  <c r="A23" i="10"/>
  <c r="B22" i="10"/>
  <c r="A22" i="10" s="1"/>
  <c r="B21" i="10"/>
  <c r="A21" i="10" s="1"/>
  <c r="B20" i="10"/>
  <c r="A20" i="10" s="1"/>
  <c r="B19" i="10"/>
  <c r="A19" i="10"/>
  <c r="B18" i="10"/>
  <c r="A18" i="10" s="1"/>
  <c r="B17" i="10"/>
  <c r="A17" i="10" s="1"/>
  <c r="B16" i="10"/>
  <c r="A16" i="10"/>
  <c r="B15" i="10"/>
  <c r="A15" i="10"/>
  <c r="B14" i="10"/>
  <c r="A14" i="10" s="1"/>
  <c r="B13" i="10"/>
  <c r="A13" i="10"/>
  <c r="B12" i="10"/>
  <c r="A12" i="10" s="1"/>
  <c r="B11" i="10"/>
  <c r="A11" i="10"/>
  <c r="B10" i="10"/>
  <c r="A10" i="10" s="1"/>
  <c r="B9" i="10"/>
  <c r="A9" i="10"/>
  <c r="B8" i="10"/>
  <c r="A8" i="10" s="1"/>
  <c r="B7" i="10"/>
  <c r="A7" i="10"/>
  <c r="B6" i="10"/>
  <c r="A6" i="10" s="1"/>
  <c r="A5" i="10"/>
  <c r="B80" i="9"/>
  <c r="A80" i="9"/>
  <c r="B79" i="9"/>
  <c r="A79" i="9" s="1"/>
  <c r="B78" i="9"/>
  <c r="A78" i="9" s="1"/>
  <c r="B77" i="9"/>
  <c r="A77" i="9" s="1"/>
  <c r="B76" i="9"/>
  <c r="A76" i="9"/>
  <c r="B75" i="9"/>
  <c r="A75" i="9" s="1"/>
  <c r="B74" i="9"/>
  <c r="A74" i="9"/>
  <c r="B73" i="9"/>
  <c r="A73" i="9" s="1"/>
  <c r="B72" i="9"/>
  <c r="A72" i="9" s="1"/>
  <c r="B71" i="9"/>
  <c r="A71" i="9" s="1"/>
  <c r="B70" i="9"/>
  <c r="A70" i="9"/>
  <c r="B69" i="9"/>
  <c r="A69" i="9" s="1"/>
  <c r="B68" i="9"/>
  <c r="A68" i="9"/>
  <c r="B67" i="9"/>
  <c r="A67" i="9" s="1"/>
  <c r="B66" i="9"/>
  <c r="A66" i="9"/>
  <c r="B65" i="9"/>
  <c r="A65" i="9"/>
  <c r="B64" i="9"/>
  <c r="A64" i="9" s="1"/>
  <c r="B63" i="9"/>
  <c r="A63" i="9" s="1"/>
  <c r="B62" i="9"/>
  <c r="A62" i="9"/>
  <c r="B61" i="9"/>
  <c r="A61" i="9"/>
  <c r="B60" i="9"/>
  <c r="A60" i="9" s="1"/>
  <c r="B59" i="9"/>
  <c r="A59" i="9" s="1"/>
  <c r="B58" i="9"/>
  <c r="A58" i="9" s="1"/>
  <c r="B57" i="9"/>
  <c r="A57" i="9"/>
  <c r="B56" i="9"/>
  <c r="A56" i="9"/>
  <c r="B55" i="9"/>
  <c r="A55" i="9" s="1"/>
  <c r="B54" i="9"/>
  <c r="A54" i="9"/>
  <c r="B53" i="9"/>
  <c r="A53" i="9"/>
  <c r="B52" i="9"/>
  <c r="A52" i="9"/>
  <c r="B51" i="9"/>
  <c r="A51" i="9" s="1"/>
  <c r="B50" i="9"/>
  <c r="A50" i="9" s="1"/>
  <c r="B49" i="9"/>
  <c r="A49" i="9" s="1"/>
  <c r="B48" i="9"/>
  <c r="A48" i="9"/>
  <c r="B47" i="9"/>
  <c r="A47" i="9" s="1"/>
  <c r="B46" i="9"/>
  <c r="A46" i="9" s="1"/>
  <c r="B45" i="9"/>
  <c r="A45" i="9"/>
  <c r="B44" i="9"/>
  <c r="A44" i="9"/>
  <c r="B43" i="9"/>
  <c r="A43" i="9" s="1"/>
  <c r="B42" i="9"/>
  <c r="A42" i="9"/>
  <c r="B41" i="9"/>
  <c r="A41" i="9" s="1"/>
  <c r="B40" i="9"/>
  <c r="A40" i="9" s="1"/>
  <c r="B39" i="9"/>
  <c r="A39" i="9" s="1"/>
  <c r="B38" i="9"/>
  <c r="A38" i="9"/>
  <c r="B37" i="9"/>
  <c r="A37" i="9" s="1"/>
  <c r="B36" i="9"/>
  <c r="A36" i="9"/>
  <c r="B35" i="9"/>
  <c r="A35" i="9" s="1"/>
  <c r="B34" i="9"/>
  <c r="A34" i="9"/>
  <c r="B33" i="9"/>
  <c r="A33" i="9"/>
  <c r="B32" i="9"/>
  <c r="A32" i="9" s="1"/>
  <c r="B31" i="9"/>
  <c r="A31" i="9" s="1"/>
  <c r="B30" i="9"/>
  <c r="A30" i="9"/>
  <c r="B29" i="9"/>
  <c r="A29" i="9"/>
  <c r="B28" i="9"/>
  <c r="A28" i="9" s="1"/>
  <c r="B27" i="9"/>
  <c r="A27" i="9" s="1"/>
  <c r="B26" i="9"/>
  <c r="A26" i="9" s="1"/>
  <c r="B25" i="9"/>
  <c r="A25" i="9"/>
  <c r="B24" i="9"/>
  <c r="A24" i="9"/>
  <c r="B23" i="9"/>
  <c r="A23" i="9" s="1"/>
  <c r="B22" i="9"/>
  <c r="A22" i="9"/>
  <c r="B21" i="9"/>
  <c r="A21" i="9"/>
  <c r="B20" i="9"/>
  <c r="A20" i="9"/>
  <c r="B19" i="9"/>
  <c r="A19" i="9" s="1"/>
  <c r="B18" i="9"/>
  <c r="A18" i="9" s="1"/>
  <c r="B17" i="9"/>
  <c r="A17" i="9" s="1"/>
  <c r="B16" i="9"/>
  <c r="A16" i="9"/>
  <c r="B15" i="9"/>
  <c r="A15" i="9" s="1"/>
  <c r="B14" i="9"/>
  <c r="A14" i="9" s="1"/>
  <c r="B13" i="9"/>
  <c r="A13" i="9"/>
  <c r="B12" i="9"/>
  <c r="A12" i="9"/>
  <c r="B11" i="9"/>
  <c r="A11" i="9" s="1"/>
  <c r="B10" i="9"/>
  <c r="A10" i="9"/>
  <c r="B9" i="9"/>
  <c r="A9" i="9" s="1"/>
  <c r="B8" i="9"/>
  <c r="A8" i="9" s="1"/>
  <c r="B7" i="9"/>
  <c r="A7" i="9" s="1"/>
  <c r="B6" i="9"/>
  <c r="A6" i="9"/>
  <c r="A5" i="9"/>
  <c r="B80" i="8"/>
  <c r="A80" i="8" s="1"/>
  <c r="B79" i="8"/>
  <c r="A79" i="8" s="1"/>
  <c r="B78" i="8"/>
  <c r="A78" i="8"/>
  <c r="B77" i="8"/>
  <c r="A77" i="8"/>
  <c r="B76" i="8"/>
  <c r="A76" i="8" s="1"/>
  <c r="B75" i="8"/>
  <c r="A75" i="8" s="1"/>
  <c r="B74" i="8"/>
  <c r="A74" i="8"/>
  <c r="B73" i="8"/>
  <c r="A73" i="8"/>
  <c r="B72" i="8"/>
  <c r="A72" i="8" s="1"/>
  <c r="B71" i="8"/>
  <c r="A71" i="8" s="1"/>
  <c r="B70" i="8"/>
  <c r="A70" i="8"/>
  <c r="B69" i="8"/>
  <c r="A69" i="8"/>
  <c r="B68" i="8"/>
  <c r="A68" i="8" s="1"/>
  <c r="B67" i="8"/>
  <c r="A67" i="8" s="1"/>
  <c r="B66" i="8"/>
  <c r="A66" i="8"/>
  <c r="B65" i="8"/>
  <c r="A65" i="8"/>
  <c r="B64" i="8"/>
  <c r="A64" i="8" s="1"/>
  <c r="B63" i="8"/>
  <c r="A63" i="8" s="1"/>
  <c r="B62" i="8"/>
  <c r="A62" i="8"/>
  <c r="B61" i="8"/>
  <c r="A61" i="8"/>
  <c r="B60" i="8"/>
  <c r="A60" i="8" s="1"/>
  <c r="B59" i="8"/>
  <c r="A59" i="8" s="1"/>
  <c r="B58" i="8"/>
  <c r="A58" i="8"/>
  <c r="B57" i="8"/>
  <c r="A57" i="8"/>
  <c r="B56" i="8"/>
  <c r="A56" i="8" s="1"/>
  <c r="B55" i="8"/>
  <c r="A55" i="8" s="1"/>
  <c r="B54" i="8"/>
  <c r="A54" i="8"/>
  <c r="B53" i="8"/>
  <c r="A53" i="8"/>
  <c r="B52" i="8"/>
  <c r="A52" i="8" s="1"/>
  <c r="B51" i="8"/>
  <c r="A51" i="8" s="1"/>
  <c r="B50" i="8"/>
  <c r="A50" i="8"/>
  <c r="B49" i="8"/>
  <c r="A49" i="8"/>
  <c r="B48" i="8"/>
  <c r="A48" i="8" s="1"/>
  <c r="B47" i="8"/>
  <c r="A47" i="8" s="1"/>
  <c r="B46" i="8"/>
  <c r="A46" i="8"/>
  <c r="B45" i="8"/>
  <c r="A45" i="8"/>
  <c r="B44" i="8"/>
  <c r="A44" i="8" s="1"/>
  <c r="B43" i="8"/>
  <c r="A43" i="8" s="1"/>
  <c r="B42" i="8"/>
  <c r="A42" i="8"/>
  <c r="B41" i="8"/>
  <c r="A41" i="8"/>
  <c r="B40" i="8"/>
  <c r="A40" i="8" s="1"/>
  <c r="B39" i="8"/>
  <c r="A39" i="8" s="1"/>
  <c r="B38" i="8"/>
  <c r="A38" i="8"/>
  <c r="B37" i="8"/>
  <c r="A37" i="8"/>
  <c r="B36" i="8"/>
  <c r="A36" i="8" s="1"/>
  <c r="B35" i="8"/>
  <c r="A35" i="8" s="1"/>
  <c r="B34" i="8"/>
  <c r="A34" i="8"/>
  <c r="B33" i="8"/>
  <c r="A33" i="8"/>
  <c r="B32" i="8"/>
  <c r="A32" i="8" s="1"/>
  <c r="B31" i="8"/>
  <c r="A31" i="8" s="1"/>
  <c r="B30" i="8"/>
  <c r="A30" i="8"/>
  <c r="B29" i="8"/>
  <c r="A29" i="8"/>
  <c r="B28" i="8"/>
  <c r="A28" i="8" s="1"/>
  <c r="B27" i="8"/>
  <c r="A27" i="8" s="1"/>
  <c r="B26" i="8"/>
  <c r="A26" i="8"/>
  <c r="B25" i="8"/>
  <c r="A25" i="8"/>
  <c r="B24" i="8"/>
  <c r="A24" i="8" s="1"/>
  <c r="B23" i="8"/>
  <c r="A23" i="8" s="1"/>
  <c r="B22" i="8"/>
  <c r="A22" i="8"/>
  <c r="B21" i="8"/>
  <c r="A21" i="8"/>
  <c r="B20" i="8"/>
  <c r="A20" i="8" s="1"/>
  <c r="B19" i="8"/>
  <c r="A19" i="8" s="1"/>
  <c r="B18" i="8"/>
  <c r="A18" i="8"/>
  <c r="B17" i="8"/>
  <c r="A17" i="8"/>
  <c r="B16" i="8"/>
  <c r="A16" i="8" s="1"/>
  <c r="B15" i="8"/>
  <c r="A15" i="8" s="1"/>
  <c r="B14" i="8"/>
  <c r="A14" i="8"/>
  <c r="B13" i="8"/>
  <c r="A13" i="8"/>
  <c r="B12" i="8"/>
  <c r="A12" i="8" s="1"/>
  <c r="B11" i="8"/>
  <c r="A11" i="8" s="1"/>
  <c r="B10" i="8"/>
  <c r="A10" i="8"/>
  <c r="B9" i="8"/>
  <c r="A9" i="8"/>
  <c r="B8" i="8"/>
  <c r="A8" i="8" s="1"/>
  <c r="B7" i="8"/>
  <c r="A7" i="8" s="1"/>
  <c r="B6" i="8"/>
  <c r="A6" i="8"/>
  <c r="A5" i="8"/>
  <c r="B80" i="7"/>
  <c r="A80" i="7" s="1"/>
  <c r="B79" i="7"/>
  <c r="A79" i="7"/>
  <c r="B78" i="7"/>
  <c r="A78" i="7" s="1"/>
  <c r="B77" i="7"/>
  <c r="A77" i="7"/>
  <c r="B76" i="7"/>
  <c r="A76" i="7"/>
  <c r="B75" i="7"/>
  <c r="A75" i="7" s="1"/>
  <c r="B74" i="7"/>
  <c r="A74" i="7" s="1"/>
  <c r="B73" i="7"/>
  <c r="A73" i="7"/>
  <c r="B72" i="7"/>
  <c r="A72" i="7"/>
  <c r="B71" i="7"/>
  <c r="A71" i="7" s="1"/>
  <c r="B70" i="7"/>
  <c r="A70" i="7" s="1"/>
  <c r="B69" i="7"/>
  <c r="A69" i="7" s="1"/>
  <c r="B68" i="7"/>
  <c r="A68" i="7"/>
  <c r="B67" i="7"/>
  <c r="A67" i="7"/>
  <c r="B66" i="7"/>
  <c r="A66" i="7" s="1"/>
  <c r="B65" i="7"/>
  <c r="A65" i="7"/>
  <c r="B64" i="7"/>
  <c r="A64" i="7"/>
  <c r="B63" i="7"/>
  <c r="A63" i="7"/>
  <c r="B62" i="7"/>
  <c r="A62" i="7" s="1"/>
  <c r="B61" i="7"/>
  <c r="A61" i="7" s="1"/>
  <c r="B60" i="7"/>
  <c r="A60" i="7" s="1"/>
  <c r="B59" i="7"/>
  <c r="A59" i="7"/>
  <c r="B58" i="7"/>
  <c r="A58" i="7" s="1"/>
  <c r="B57" i="7"/>
  <c r="A57" i="7" s="1"/>
  <c r="B56" i="7"/>
  <c r="A56" i="7"/>
  <c r="B55" i="7"/>
  <c r="A55" i="7"/>
  <c r="B54" i="7"/>
  <c r="A54" i="7" s="1"/>
  <c r="B53" i="7"/>
  <c r="A53" i="7"/>
  <c r="B52" i="7"/>
  <c r="A52" i="7" s="1"/>
  <c r="B51" i="7"/>
  <c r="A51" i="7" s="1"/>
  <c r="B50" i="7"/>
  <c r="A50" i="7" s="1"/>
  <c r="B49" i="7"/>
  <c r="A49" i="7"/>
  <c r="B48" i="7"/>
  <c r="A48" i="7" s="1"/>
  <c r="B47" i="7"/>
  <c r="A47" i="7"/>
  <c r="B46" i="7"/>
  <c r="A46" i="7" s="1"/>
  <c r="B45" i="7"/>
  <c r="A45" i="7"/>
  <c r="B44" i="7"/>
  <c r="A44" i="7"/>
  <c r="B43" i="7"/>
  <c r="A43" i="7" s="1"/>
  <c r="B42" i="7"/>
  <c r="A42" i="7" s="1"/>
  <c r="B41" i="7"/>
  <c r="A41" i="7"/>
  <c r="B40" i="7"/>
  <c r="A40" i="7"/>
  <c r="B39" i="7"/>
  <c r="A39" i="7" s="1"/>
  <c r="B38" i="7"/>
  <c r="A38" i="7" s="1"/>
  <c r="B37" i="7"/>
  <c r="A37" i="7" s="1"/>
  <c r="B36" i="7"/>
  <c r="A36" i="7"/>
  <c r="B35" i="7"/>
  <c r="A35" i="7"/>
  <c r="B34" i="7"/>
  <c r="A34" i="7" s="1"/>
  <c r="B33" i="7"/>
  <c r="A33" i="7"/>
  <c r="B32" i="7"/>
  <c r="A32" i="7"/>
  <c r="B31" i="7"/>
  <c r="A31" i="7"/>
  <c r="B30" i="7"/>
  <c r="A30" i="7" s="1"/>
  <c r="B29" i="7"/>
  <c r="A29" i="7" s="1"/>
  <c r="B28" i="7"/>
  <c r="A28" i="7" s="1"/>
  <c r="B27" i="7"/>
  <c r="A27" i="7"/>
  <c r="B26" i="7"/>
  <c r="A26" i="7" s="1"/>
  <c r="B25" i="7"/>
  <c r="A25" i="7" s="1"/>
  <c r="B24" i="7"/>
  <c r="A24" i="7"/>
  <c r="B23" i="7"/>
  <c r="A23" i="7"/>
  <c r="B22" i="7"/>
  <c r="A22" i="7" s="1"/>
  <c r="B21" i="7"/>
  <c r="A21" i="7"/>
  <c r="B20" i="7"/>
  <c r="A20" i="7" s="1"/>
  <c r="B19" i="7"/>
  <c r="A19" i="7" s="1"/>
  <c r="B18" i="7"/>
  <c r="A18" i="7" s="1"/>
  <c r="B17" i="7"/>
  <c r="A17" i="7"/>
  <c r="B16" i="7"/>
  <c r="A16" i="7" s="1"/>
  <c r="B15" i="7"/>
  <c r="A15" i="7"/>
  <c r="B14" i="7"/>
  <c r="A14" i="7" s="1"/>
  <c r="B13" i="7"/>
  <c r="A13" i="7"/>
  <c r="B12" i="7"/>
  <c r="A12" i="7"/>
  <c r="B11" i="7"/>
  <c r="A11" i="7" s="1"/>
  <c r="B10" i="7"/>
  <c r="A10" i="7" s="1"/>
  <c r="B9" i="7"/>
  <c r="A9" i="7"/>
  <c r="B8" i="7"/>
  <c r="A8" i="7"/>
  <c r="B7" i="7"/>
  <c r="A7" i="7" s="1"/>
  <c r="B6" i="7"/>
  <c r="A6" i="7" s="1"/>
  <c r="A5" i="7"/>
  <c r="B80" i="6"/>
  <c r="A80" i="6"/>
  <c r="B79" i="6"/>
  <c r="A79" i="6"/>
  <c r="B78" i="6"/>
  <c r="A78" i="6" s="1"/>
  <c r="B77" i="6"/>
  <c r="A77" i="6"/>
  <c r="B76" i="6"/>
  <c r="A76" i="6"/>
  <c r="B75" i="6"/>
  <c r="A75" i="6"/>
  <c r="B74" i="6"/>
  <c r="A74" i="6" s="1"/>
  <c r="B73" i="6"/>
  <c r="A73" i="6"/>
  <c r="B72" i="6"/>
  <c r="A72" i="6"/>
  <c r="B71" i="6"/>
  <c r="A71" i="6"/>
  <c r="B70" i="6"/>
  <c r="A70" i="6" s="1"/>
  <c r="B69" i="6"/>
  <c r="A69" i="6"/>
  <c r="B68" i="6"/>
  <c r="A68" i="6"/>
  <c r="B67" i="6"/>
  <c r="A67" i="6"/>
  <c r="B66" i="6"/>
  <c r="A66" i="6" s="1"/>
  <c r="B65" i="6"/>
  <c r="A65" i="6"/>
  <c r="B64" i="6"/>
  <c r="A64" i="6"/>
  <c r="B63" i="6"/>
  <c r="A63" i="6"/>
  <c r="B62" i="6"/>
  <c r="A62" i="6" s="1"/>
  <c r="B61" i="6"/>
  <c r="A61" i="6"/>
  <c r="B60" i="6"/>
  <c r="A60" i="6"/>
  <c r="B59" i="6"/>
  <c r="A59" i="6"/>
  <c r="B58" i="6"/>
  <c r="A58" i="6" s="1"/>
  <c r="B57" i="6"/>
  <c r="A57" i="6"/>
  <c r="B56" i="6"/>
  <c r="A56" i="6"/>
  <c r="B55" i="6"/>
  <c r="A55" i="6"/>
  <c r="B54" i="6"/>
  <c r="A54" i="6" s="1"/>
  <c r="B53" i="6"/>
  <c r="A53" i="6"/>
  <c r="B52" i="6"/>
  <c r="A52" i="6"/>
  <c r="B51" i="6"/>
  <c r="A51" i="6"/>
  <c r="B50" i="6"/>
  <c r="A50" i="6" s="1"/>
  <c r="B49" i="6"/>
  <c r="A49" i="6"/>
  <c r="B48" i="6"/>
  <c r="A48" i="6"/>
  <c r="B47" i="6"/>
  <c r="A47" i="6"/>
  <c r="B46" i="6"/>
  <c r="A46" i="6" s="1"/>
  <c r="B45" i="6"/>
  <c r="A45" i="6"/>
  <c r="B44" i="6"/>
  <c r="A44" i="6"/>
  <c r="B43" i="6"/>
  <c r="A43" i="6"/>
  <c r="B42" i="6"/>
  <c r="A42" i="6" s="1"/>
  <c r="B41" i="6"/>
  <c r="A41" i="6"/>
  <c r="B40" i="6"/>
  <c r="A40" i="6"/>
  <c r="B39" i="6"/>
  <c r="A39" i="6"/>
  <c r="B38" i="6"/>
  <c r="A38" i="6" s="1"/>
  <c r="B37" i="6"/>
  <c r="A37" i="6"/>
  <c r="B36" i="6"/>
  <c r="A36" i="6"/>
  <c r="B35" i="6"/>
  <c r="A35" i="6"/>
  <c r="B34" i="6"/>
  <c r="A34" i="6" s="1"/>
  <c r="B33" i="6"/>
  <c r="A33" i="6"/>
  <c r="B32" i="6"/>
  <c r="A32" i="6"/>
  <c r="B31" i="6"/>
  <c r="A31" i="6"/>
  <c r="B30" i="6"/>
  <c r="A30" i="6" s="1"/>
  <c r="B29" i="6"/>
  <c r="A29" i="6"/>
  <c r="B28" i="6"/>
  <c r="A28" i="6"/>
  <c r="B27" i="6"/>
  <c r="A27" i="6"/>
  <c r="B26" i="6"/>
  <c r="A26" i="6" s="1"/>
  <c r="B25" i="6"/>
  <c r="A25" i="6"/>
  <c r="B24" i="6"/>
  <c r="A24" i="6"/>
  <c r="B23" i="6"/>
  <c r="A23" i="6"/>
  <c r="B22" i="6"/>
  <c r="A22" i="6" s="1"/>
  <c r="B21" i="6"/>
  <c r="A21" i="6"/>
  <c r="B20" i="6"/>
  <c r="A20" i="6"/>
  <c r="B19" i="6"/>
  <c r="A19" i="6"/>
  <c r="B18" i="6"/>
  <c r="A18" i="6" s="1"/>
  <c r="B17" i="6"/>
  <c r="A17" i="6"/>
  <c r="B16" i="6"/>
  <c r="A16" i="6"/>
  <c r="B15" i="6"/>
  <c r="A15" i="6"/>
  <c r="B14" i="6"/>
  <c r="A14" i="6" s="1"/>
  <c r="B13" i="6"/>
  <c r="A13" i="6"/>
  <c r="B12" i="6"/>
  <c r="A12" i="6"/>
  <c r="B11" i="6"/>
  <c r="A11" i="6"/>
  <c r="B10" i="6"/>
  <c r="A10" i="6" s="1"/>
  <c r="B9" i="6"/>
  <c r="A9" i="6"/>
  <c r="B8" i="6"/>
  <c r="A8" i="6"/>
  <c r="B7" i="6"/>
  <c r="A7" i="6"/>
  <c r="B6" i="6"/>
  <c r="A6" i="6" s="1"/>
  <c r="A5" i="6"/>
  <c r="B80" i="5"/>
  <c r="A80" i="5" s="1"/>
  <c r="B79" i="5"/>
  <c r="A79" i="5"/>
  <c r="B78" i="5"/>
  <c r="A78" i="5"/>
  <c r="B77" i="5"/>
  <c r="A77" i="5" s="1"/>
  <c r="B76" i="5"/>
  <c r="A76" i="5"/>
  <c r="B75" i="5"/>
  <c r="A75" i="5"/>
  <c r="B74" i="5"/>
  <c r="A74" i="5"/>
  <c r="B73" i="5"/>
  <c r="A73" i="5" s="1"/>
  <c r="B72" i="5"/>
  <c r="A72" i="5" s="1"/>
  <c r="B71" i="5"/>
  <c r="A71" i="5" s="1"/>
  <c r="B70" i="5"/>
  <c r="A70" i="5"/>
  <c r="B69" i="5"/>
  <c r="A69" i="5" s="1"/>
  <c r="B68" i="5"/>
  <c r="A68" i="5" s="1"/>
  <c r="B67" i="5"/>
  <c r="A67" i="5"/>
  <c r="B66" i="5"/>
  <c r="A66" i="5"/>
  <c r="B65" i="5"/>
  <c r="A65" i="5" s="1"/>
  <c r="B64" i="5"/>
  <c r="A64" i="5"/>
  <c r="B63" i="5"/>
  <c r="A63" i="5" s="1"/>
  <c r="B62" i="5"/>
  <c r="A62" i="5" s="1"/>
  <c r="B61" i="5"/>
  <c r="A61" i="5" s="1"/>
  <c r="B60" i="5"/>
  <c r="A60" i="5"/>
  <c r="B59" i="5"/>
  <c r="A59" i="5" s="1"/>
  <c r="B58" i="5"/>
  <c r="A58" i="5"/>
  <c r="B57" i="5"/>
  <c r="A57" i="5" s="1"/>
  <c r="B56" i="5"/>
  <c r="A56" i="5"/>
  <c r="B55" i="5"/>
  <c r="A55" i="5"/>
  <c r="B54" i="5"/>
  <c r="A54" i="5" s="1"/>
  <c r="B53" i="5"/>
  <c r="A53" i="5" s="1"/>
  <c r="B52" i="5"/>
  <c r="A52" i="5"/>
  <c r="B51" i="5"/>
  <c r="A51" i="5"/>
  <c r="B50" i="5"/>
  <c r="A50" i="5" s="1"/>
  <c r="B49" i="5"/>
  <c r="A49" i="5" s="1"/>
  <c r="B48" i="5"/>
  <c r="A48" i="5" s="1"/>
  <c r="B47" i="5"/>
  <c r="A47" i="5"/>
  <c r="B46" i="5"/>
  <c r="A46" i="5"/>
  <c r="B45" i="5"/>
  <c r="A45" i="5" s="1"/>
  <c r="B44" i="5"/>
  <c r="A44" i="5"/>
  <c r="B43" i="5"/>
  <c r="A43" i="5"/>
  <c r="B42" i="5"/>
  <c r="A42" i="5"/>
  <c r="B41" i="5"/>
  <c r="A41" i="5" s="1"/>
  <c r="B40" i="5"/>
  <c r="A40" i="5" s="1"/>
  <c r="B39" i="5"/>
  <c r="A39" i="5" s="1"/>
  <c r="B38" i="5"/>
  <c r="A38" i="5"/>
  <c r="B37" i="5"/>
  <c r="A37" i="5" s="1"/>
  <c r="B36" i="5"/>
  <c r="A36" i="5" s="1"/>
  <c r="B35" i="5"/>
  <c r="A35" i="5"/>
  <c r="B34" i="5"/>
  <c r="A34" i="5"/>
  <c r="B33" i="5"/>
  <c r="A33" i="5" s="1"/>
  <c r="B32" i="5"/>
  <c r="A32" i="5"/>
  <c r="B31" i="5"/>
  <c r="A31" i="5" s="1"/>
  <c r="B30" i="5"/>
  <c r="A30" i="5" s="1"/>
  <c r="B29" i="5"/>
  <c r="A29" i="5" s="1"/>
  <c r="B28" i="5"/>
  <c r="A28" i="5"/>
  <c r="B27" i="5"/>
  <c r="A27" i="5" s="1"/>
  <c r="B26" i="5"/>
  <c r="A26" i="5"/>
  <c r="B25" i="5"/>
  <c r="A25" i="5" s="1"/>
  <c r="B24" i="5"/>
  <c r="A24" i="5"/>
  <c r="B23" i="5"/>
  <c r="A23" i="5"/>
  <c r="B22" i="5"/>
  <c r="A22" i="5" s="1"/>
  <c r="B21" i="5"/>
  <c r="A21" i="5" s="1"/>
  <c r="B20" i="5"/>
  <c r="A20" i="5"/>
  <c r="B19" i="5"/>
  <c r="A19" i="5"/>
  <c r="B18" i="5"/>
  <c r="A18" i="5" s="1"/>
  <c r="B17" i="5"/>
  <c r="A17" i="5" s="1"/>
  <c r="B16" i="5"/>
  <c r="A16" i="5" s="1"/>
  <c r="B15" i="5"/>
  <c r="A15" i="5"/>
  <c r="B14" i="5"/>
  <c r="A14" i="5"/>
  <c r="B13" i="5"/>
  <c r="A13" i="5" s="1"/>
  <c r="B12" i="5"/>
  <c r="A12" i="5"/>
  <c r="B11" i="5"/>
  <c r="A11" i="5"/>
  <c r="B10" i="5"/>
  <c r="A10" i="5"/>
  <c r="B9" i="5"/>
  <c r="A9" i="5" s="1"/>
  <c r="B8" i="5"/>
  <c r="A8" i="5" s="1"/>
  <c r="B7" i="5"/>
  <c r="A7" i="5" s="1"/>
  <c r="B6" i="5"/>
  <c r="A6" i="5"/>
  <c r="A5" i="5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A5" i="4"/>
  <c r="B80" i="3"/>
  <c r="A80" i="3" s="1"/>
  <c r="B79" i="3"/>
  <c r="A79" i="3" s="1"/>
  <c r="B78" i="3"/>
  <c r="A78" i="3"/>
  <c r="B77" i="3"/>
  <c r="A77" i="3"/>
  <c r="B76" i="3"/>
  <c r="A76" i="3" s="1"/>
  <c r="B75" i="3"/>
  <c r="A75" i="3"/>
  <c r="B74" i="3"/>
  <c r="A74" i="3" s="1"/>
  <c r="B73" i="3"/>
  <c r="A73" i="3" s="1"/>
  <c r="B72" i="3"/>
  <c r="A72" i="3" s="1"/>
  <c r="B71" i="3"/>
  <c r="A71" i="3"/>
  <c r="B70" i="3"/>
  <c r="A70" i="3" s="1"/>
  <c r="B69" i="3"/>
  <c r="A69" i="3"/>
  <c r="B68" i="3"/>
  <c r="A68" i="3"/>
  <c r="B67" i="3"/>
  <c r="A67" i="3"/>
  <c r="B66" i="3"/>
  <c r="A66" i="3" s="1"/>
  <c r="B65" i="3"/>
  <c r="A65" i="3"/>
  <c r="B64" i="3"/>
  <c r="A64" i="3"/>
  <c r="B63" i="3"/>
  <c r="A63" i="3"/>
  <c r="B62" i="3"/>
  <c r="A62" i="3" s="1"/>
  <c r="B61" i="3"/>
  <c r="A61" i="3"/>
  <c r="B60" i="3"/>
  <c r="A60" i="3"/>
  <c r="B59" i="3"/>
  <c r="A59" i="3"/>
  <c r="B58" i="3"/>
  <c r="A58" i="3" s="1"/>
  <c r="B57" i="3"/>
  <c r="A57" i="3"/>
  <c r="B56" i="3"/>
  <c r="A56" i="3"/>
  <c r="B55" i="3"/>
  <c r="A55" i="3"/>
  <c r="B54" i="3"/>
  <c r="A54" i="3" s="1"/>
  <c r="B53" i="3"/>
  <c r="A53" i="3"/>
  <c r="B52" i="3"/>
  <c r="A52" i="3"/>
  <c r="B51" i="3"/>
  <c r="A51" i="3"/>
  <c r="B50" i="3"/>
  <c r="A50" i="3" s="1"/>
  <c r="B49" i="3"/>
  <c r="A49" i="3"/>
  <c r="B48" i="3"/>
  <c r="A48" i="3"/>
  <c r="B47" i="3"/>
  <c r="A47" i="3"/>
  <c r="B46" i="3"/>
  <c r="A46" i="3" s="1"/>
  <c r="B45" i="3"/>
  <c r="A45" i="3"/>
  <c r="B44" i="3"/>
  <c r="A44" i="3"/>
  <c r="B43" i="3"/>
  <c r="A43" i="3"/>
  <c r="B42" i="3"/>
  <c r="A42" i="3" s="1"/>
  <c r="B41" i="3"/>
  <c r="A41" i="3"/>
  <c r="B40" i="3"/>
  <c r="A40" i="3"/>
  <c r="B39" i="3"/>
  <c r="A39" i="3"/>
  <c r="B38" i="3"/>
  <c r="A38" i="3" s="1"/>
  <c r="B37" i="3"/>
  <c r="A37" i="3"/>
  <c r="B36" i="3"/>
  <c r="A36" i="3"/>
  <c r="B35" i="3"/>
  <c r="A35" i="3"/>
  <c r="B34" i="3"/>
  <c r="A34" i="3" s="1"/>
  <c r="B33" i="3"/>
  <c r="A33" i="3"/>
  <c r="B32" i="3"/>
  <c r="A32" i="3"/>
  <c r="B31" i="3"/>
  <c r="A31" i="3"/>
  <c r="B30" i="3"/>
  <c r="A30" i="3" s="1"/>
  <c r="B29" i="3"/>
  <c r="A29" i="3"/>
  <c r="B28" i="3"/>
  <c r="A28" i="3"/>
  <c r="B27" i="3"/>
  <c r="A27" i="3"/>
  <c r="B26" i="3"/>
  <c r="A26" i="3" s="1"/>
  <c r="B25" i="3"/>
  <c r="A25" i="3"/>
  <c r="B24" i="3"/>
  <c r="A24" i="3"/>
  <c r="B23" i="3"/>
  <c r="A23" i="3"/>
  <c r="B22" i="3"/>
  <c r="A22" i="3" s="1"/>
  <c r="B21" i="3"/>
  <c r="A21" i="3"/>
  <c r="B20" i="3"/>
  <c r="A20" i="3"/>
  <c r="B19" i="3"/>
  <c r="A19" i="3"/>
  <c r="B18" i="3"/>
  <c r="A18" i="3" s="1"/>
  <c r="B17" i="3"/>
  <c r="A17" i="3"/>
  <c r="B16" i="3"/>
  <c r="A16" i="3"/>
  <c r="B15" i="3"/>
  <c r="A15" i="3"/>
  <c r="B14" i="3"/>
  <c r="A14" i="3" s="1"/>
  <c r="B13" i="3"/>
  <c r="A13" i="3"/>
  <c r="B12" i="3"/>
  <c r="A12" i="3"/>
  <c r="B11" i="3"/>
  <c r="A11" i="3"/>
  <c r="B10" i="3"/>
  <c r="A10" i="3" s="1"/>
  <c r="B9" i="3"/>
  <c r="A9" i="3"/>
  <c r="B8" i="3"/>
  <c r="A8" i="3"/>
  <c r="B7" i="3"/>
  <c r="A7" i="3"/>
  <c r="B6" i="3"/>
  <c r="A6" i="3" s="1"/>
  <c r="A5" i="3"/>
  <c r="B80" i="2"/>
  <c r="A80" i="2" s="1"/>
  <c r="B79" i="2"/>
  <c r="A79" i="2"/>
  <c r="B78" i="2"/>
  <c r="A78" i="2" s="1"/>
  <c r="B77" i="2"/>
  <c r="A77" i="2" s="1"/>
  <c r="B76" i="2"/>
  <c r="A76" i="2" s="1"/>
  <c r="B75" i="2"/>
  <c r="A75" i="2"/>
  <c r="B74" i="2"/>
  <c r="A74" i="2"/>
  <c r="B73" i="2"/>
  <c r="A73" i="2" s="1"/>
  <c r="B72" i="2"/>
  <c r="A72" i="2" s="1"/>
  <c r="B71" i="2"/>
  <c r="A71" i="2"/>
  <c r="B70" i="2"/>
  <c r="A70" i="2"/>
  <c r="B69" i="2"/>
  <c r="A69" i="2" s="1"/>
  <c r="B68" i="2"/>
  <c r="A68" i="2" s="1"/>
  <c r="B67" i="2"/>
  <c r="A67" i="2" s="1"/>
  <c r="B66" i="2"/>
  <c r="A66" i="2"/>
  <c r="B65" i="2"/>
  <c r="A65" i="2" s="1"/>
  <c r="B64" i="2"/>
  <c r="A64" i="2" s="1"/>
  <c r="B63" i="2"/>
  <c r="A63" i="2"/>
  <c r="B62" i="2"/>
  <c r="A62" i="2" s="1"/>
  <c r="B61" i="2"/>
  <c r="A61" i="2" s="1"/>
  <c r="B60" i="2"/>
  <c r="A60" i="2" s="1"/>
  <c r="B59" i="2"/>
  <c r="A59" i="2"/>
  <c r="B58" i="2"/>
  <c r="A58" i="2"/>
  <c r="B57" i="2"/>
  <c r="A57" i="2" s="1"/>
  <c r="B56" i="2"/>
  <c r="A56" i="2" s="1"/>
  <c r="B55" i="2"/>
  <c r="A55" i="2"/>
  <c r="B54" i="2"/>
  <c r="A54" i="2"/>
  <c r="B53" i="2"/>
  <c r="A53" i="2" s="1"/>
  <c r="B52" i="2"/>
  <c r="A52" i="2" s="1"/>
  <c r="B51" i="2"/>
  <c r="A51" i="2" s="1"/>
  <c r="B50" i="2"/>
  <c r="A50" i="2"/>
  <c r="B49" i="2"/>
  <c r="A49" i="2" s="1"/>
  <c r="B48" i="2"/>
  <c r="A48" i="2" s="1"/>
  <c r="B47" i="2"/>
  <c r="A47" i="2"/>
  <c r="B46" i="2"/>
  <c r="A46" i="2" s="1"/>
  <c r="B45" i="2"/>
  <c r="A45" i="2" s="1"/>
  <c r="B44" i="2"/>
  <c r="A44" i="2" s="1"/>
  <c r="B43" i="2"/>
  <c r="A43" i="2"/>
  <c r="B42" i="2"/>
  <c r="A42" i="2"/>
  <c r="B41" i="2"/>
  <c r="A41" i="2" s="1"/>
  <c r="B40" i="2"/>
  <c r="A40" i="2" s="1"/>
  <c r="B39" i="2"/>
  <c r="A39" i="2"/>
  <c r="B38" i="2"/>
  <c r="A38" i="2"/>
  <c r="B37" i="2"/>
  <c r="A37" i="2" s="1"/>
  <c r="B36" i="2"/>
  <c r="A36" i="2" s="1"/>
  <c r="B35" i="2"/>
  <c r="A35" i="2" s="1"/>
  <c r="B34" i="2"/>
  <c r="A34" i="2"/>
  <c r="B33" i="2"/>
  <c r="A33" i="2" s="1"/>
  <c r="B32" i="2"/>
  <c r="A32" i="2" s="1"/>
  <c r="B31" i="2"/>
  <c r="A31" i="2"/>
  <c r="B30" i="2"/>
  <c r="A30" i="2" s="1"/>
  <c r="B29" i="2"/>
  <c r="A29" i="2" s="1"/>
  <c r="B28" i="2"/>
  <c r="A28" i="2" s="1"/>
  <c r="B27" i="2"/>
  <c r="A27" i="2"/>
  <c r="B26" i="2"/>
  <c r="A26" i="2"/>
  <c r="B25" i="2"/>
  <c r="A25" i="2" s="1"/>
  <c r="B24" i="2"/>
  <c r="A24" i="2" s="1"/>
  <c r="B23" i="2"/>
  <c r="A23" i="2"/>
  <c r="B22" i="2"/>
  <c r="A22" i="2"/>
  <c r="B21" i="2"/>
  <c r="A21" i="2" s="1"/>
  <c r="B20" i="2"/>
  <c r="A20" i="2" s="1"/>
  <c r="B19" i="2"/>
  <c r="A19" i="2" s="1"/>
  <c r="B18" i="2"/>
  <c r="A18" i="2"/>
  <c r="B17" i="2"/>
  <c r="A17" i="2" s="1"/>
  <c r="B16" i="2"/>
  <c r="A16" i="2" s="1"/>
  <c r="B15" i="2"/>
  <c r="A15" i="2"/>
  <c r="B14" i="2"/>
  <c r="A14" i="2" s="1"/>
  <c r="B13" i="2"/>
  <c r="A13" i="2" s="1"/>
  <c r="B12" i="2"/>
  <c r="A12" i="2" s="1"/>
  <c r="B11" i="2"/>
  <c r="A11" i="2"/>
  <c r="B10" i="2"/>
  <c r="A10" i="2"/>
  <c r="B9" i="2"/>
  <c r="A9" i="2" s="1"/>
  <c r="B8" i="2"/>
  <c r="A8" i="2" s="1"/>
  <c r="B7" i="2"/>
  <c r="A7" i="2"/>
  <c r="B6" i="2"/>
  <c r="A6" i="2"/>
  <c r="A5" i="2"/>
  <c r="B80" i="1"/>
  <c r="A80" i="1"/>
  <c r="B79" i="1"/>
  <c r="A79" i="1"/>
  <c r="B78" i="1"/>
  <c r="A78" i="1"/>
  <c r="B77" i="1"/>
  <c r="A77" i="1" s="1"/>
  <c r="B76" i="1"/>
  <c r="A76" i="1"/>
  <c r="B75" i="1"/>
  <c r="A75" i="1"/>
  <c r="B74" i="1"/>
  <c r="A74" i="1"/>
  <c r="B73" i="1"/>
  <c r="A73" i="1" s="1"/>
  <c r="B72" i="1"/>
  <c r="A72" i="1" s="1"/>
  <c r="B71" i="1"/>
  <c r="A71" i="1"/>
  <c r="B70" i="1"/>
  <c r="A70" i="1"/>
  <c r="B69" i="1"/>
  <c r="A69" i="1" s="1"/>
  <c r="B68" i="1"/>
  <c r="A68" i="1"/>
  <c r="B67" i="1"/>
  <c r="A67" i="1"/>
  <c r="B66" i="1"/>
  <c r="A66" i="1"/>
  <c r="B65" i="1"/>
  <c r="A65" i="1" s="1"/>
  <c r="B64" i="1"/>
  <c r="A64" i="1"/>
  <c r="B63" i="1"/>
  <c r="A63" i="1" s="1"/>
  <c r="B62" i="1"/>
  <c r="A62" i="1"/>
  <c r="B61" i="1"/>
  <c r="A61" i="1" s="1"/>
  <c r="B60" i="1"/>
  <c r="A60" i="1"/>
  <c r="B59" i="1"/>
  <c r="A59" i="1"/>
  <c r="B58" i="1"/>
  <c r="A58" i="1"/>
  <c r="B57" i="1"/>
  <c r="A57" i="1" s="1"/>
  <c r="B56" i="1"/>
  <c r="A56" i="1"/>
  <c r="B55" i="1"/>
  <c r="A55" i="1"/>
  <c r="B54" i="1"/>
  <c r="A54" i="1" s="1"/>
  <c r="B53" i="1"/>
  <c r="A53" i="1" s="1"/>
  <c r="B52" i="1"/>
  <c r="A52" i="1"/>
  <c r="B51" i="1"/>
  <c r="A51" i="1"/>
  <c r="B50" i="1"/>
  <c r="A50" i="1"/>
  <c r="B49" i="1"/>
  <c r="A49" i="1" s="1"/>
  <c r="B48" i="1"/>
  <c r="A48" i="1"/>
  <c r="B47" i="1"/>
  <c r="A47" i="1"/>
  <c r="B46" i="1"/>
  <c r="A46" i="1"/>
  <c r="B45" i="1"/>
  <c r="A45" i="1" s="1"/>
  <c r="B44" i="1"/>
  <c r="A44" i="1"/>
  <c r="B43" i="1"/>
  <c r="A43" i="1"/>
  <c r="B42" i="1"/>
  <c r="A42" i="1"/>
  <c r="B41" i="1"/>
  <c r="A41" i="1" s="1"/>
  <c r="B40" i="1"/>
  <c r="A40" i="1" s="1"/>
  <c r="B39" i="1"/>
  <c r="A39" i="1"/>
  <c r="B38" i="1"/>
  <c r="A38" i="1"/>
  <c r="B37" i="1"/>
  <c r="A37" i="1" s="1"/>
  <c r="B36" i="1"/>
  <c r="A36" i="1"/>
  <c r="B35" i="1"/>
  <c r="A35" i="1"/>
  <c r="B34" i="1"/>
  <c r="A34" i="1"/>
  <c r="B33" i="1"/>
  <c r="A33" i="1" s="1"/>
  <c r="B32" i="1"/>
  <c r="A32" i="1"/>
  <c r="B31" i="1"/>
  <c r="A31" i="1" s="1"/>
  <c r="B30" i="1"/>
  <c r="A30" i="1"/>
  <c r="B29" i="1"/>
  <c r="A29" i="1" s="1"/>
  <c r="B28" i="1"/>
  <c r="A28" i="1"/>
  <c r="B27" i="1"/>
  <c r="A27" i="1"/>
  <c r="B26" i="1"/>
  <c r="A26" i="1"/>
  <c r="B25" i="1"/>
  <c r="A25" i="1" s="1"/>
  <c r="B24" i="1"/>
  <c r="A24" i="1"/>
  <c r="B23" i="1"/>
  <c r="A23" i="1"/>
  <c r="B22" i="1"/>
  <c r="A22" i="1" s="1"/>
  <c r="B21" i="1"/>
  <c r="A21" i="1" s="1"/>
  <c r="B20" i="1"/>
  <c r="A20" i="1"/>
  <c r="B19" i="1"/>
  <c r="A19" i="1"/>
  <c r="B18" i="1"/>
  <c r="A18" i="1"/>
  <c r="B17" i="1"/>
  <c r="A17" i="1" s="1"/>
  <c r="B16" i="1"/>
  <c r="A16" i="1" s="1"/>
  <c r="B15" i="1"/>
  <c r="A15" i="1"/>
  <c r="B14" i="1"/>
  <c r="A14" i="1"/>
  <c r="B13" i="1"/>
  <c r="A13" i="1" s="1"/>
  <c r="B12" i="1"/>
  <c r="A12" i="1"/>
  <c r="B11" i="1"/>
  <c r="A11" i="1"/>
  <c r="B10" i="1"/>
  <c r="A10" i="1"/>
  <c r="B9" i="1"/>
  <c r="A9" i="1" s="1"/>
  <c r="B8" i="1"/>
  <c r="A8" i="1" s="1"/>
  <c r="B7" i="1"/>
  <c r="A7" i="1" s="1"/>
  <c r="B6" i="1"/>
  <c r="A6" i="1"/>
  <c r="A5" i="1"/>
</calcChain>
</file>

<file path=xl/sharedStrings.xml><?xml version="1.0" encoding="utf-8"?>
<sst xmlns="http://schemas.openxmlformats.org/spreadsheetml/2006/main" count="3410" uniqueCount="105">
  <si>
    <t>📦 납품 장부 입력 시트 — 거래처 1건당 한 줄 입력</t>
  </si>
  <si>
    <t>※ 노란색 셀만 입력하세요  |  수량 없는 품목은 빈칸으로 두세요  |  회수통 단가는 기본값과 다를 때만 입력</t>
  </si>
  <si>
    <t>주문번호</t>
  </si>
  <si>
    <t>날짜</t>
  </si>
  <si>
    <t>거래처</t>
  </si>
  <si>
    <t>두절kg</t>
  </si>
  <si>
    <t>일반콩나물</t>
  </si>
  <si>
    <t>소립</t>
  </si>
  <si>
    <t>곱슬콩나물</t>
  </si>
  <si>
    <t>3.5kg일반</t>
  </si>
  <si>
    <t>3.5kg곱슬</t>
  </si>
  <si>
    <t>숙주</t>
  </si>
  <si>
    <t>회수통</t>
  </si>
  <si>
    <t>손두부</t>
  </si>
  <si>
    <t>두부판</t>
  </si>
  <si>
    <t>회수통단가</t>
  </si>
  <si>
    <t>전달방식</t>
  </si>
  <si>
    <t>비고</t>
  </si>
  <si>
    <t>자동생성</t>
  </si>
  <si>
    <t>납품일</t>
  </si>
  <si>
    <t>드롭다운 선택</t>
  </si>
  <si>
    <t>kg</t>
  </si>
  <si>
    <t>수량</t>
  </si>
  <si>
    <t>수량(팔공만)</t>
  </si>
  <si>
    <t>예외시만입력</t>
  </si>
  <si>
    <t>드롭다운</t>
  </si>
  <si>
    <t>자유입력</t>
  </si>
  <si>
    <t>산동빅</t>
  </si>
  <si>
    <t>옥계빅</t>
  </si>
  <si>
    <t>상모빅</t>
  </si>
  <si>
    <t>플래쉬</t>
  </si>
  <si>
    <t>고향가마솥</t>
  </si>
  <si>
    <t>명희네해장</t>
  </si>
  <si>
    <t>HS식자재도매유통</t>
  </si>
  <si>
    <t>지엠식자재마트(지산DC)</t>
  </si>
  <si>
    <t>사곡구미식자재마트</t>
  </si>
  <si>
    <t>형곡우리마트</t>
  </si>
  <si>
    <t>비산DC마트</t>
  </si>
  <si>
    <t>비산킹마트</t>
  </si>
  <si>
    <t>광천킹마트</t>
  </si>
  <si>
    <t>팜식자재마트</t>
  </si>
  <si>
    <t>구포ss마트</t>
  </si>
  <si>
    <t>송정ss마트</t>
  </si>
  <si>
    <t>VIP마트</t>
  </si>
  <si>
    <t>내고향식자재마트</t>
  </si>
  <si>
    <t>문성팜식자재마트</t>
  </si>
  <si>
    <t>참마트</t>
  </si>
  <si>
    <t>왕산마트</t>
  </si>
  <si>
    <t>형곡드림마트</t>
  </si>
  <si>
    <t>문성드림마트</t>
  </si>
  <si>
    <t>임은DC마트</t>
  </si>
  <si>
    <t>형곡DC마트</t>
  </si>
  <si>
    <t>세운축산윤선영구미한우</t>
  </si>
  <si>
    <t>북삼우리푸드</t>
  </si>
  <si>
    <t>아름식품</t>
  </si>
  <si>
    <t>고놈의불향쭈꾸미</t>
  </si>
  <si>
    <t>올레길</t>
  </si>
  <si>
    <t>다온약선톳밥</t>
  </si>
  <si>
    <t>남통대구왕뽈찜</t>
  </si>
  <si>
    <t>바른마켓</t>
  </si>
  <si>
    <t>깜상알밥국시</t>
  </si>
  <si>
    <t>상모오호오쭈꾸미</t>
  </si>
  <si>
    <t>원골</t>
  </si>
  <si>
    <t>불구이돈</t>
  </si>
  <si>
    <t>형곡종가숯불갈비</t>
  </si>
  <si>
    <t>상모뒷고기</t>
  </si>
  <si>
    <t>상모용두동쭈꾸미</t>
  </si>
  <si>
    <t>형곡용두동쭈꾸미</t>
  </si>
  <si>
    <t>이가네족발</t>
  </si>
  <si>
    <t>뜨끈이</t>
  </si>
  <si>
    <t>황태덕장</t>
  </si>
  <si>
    <t>원조가오리</t>
  </si>
  <si>
    <t>신촌</t>
  </si>
  <si>
    <t>원웰빙마트</t>
  </si>
  <si>
    <t>아포상회</t>
  </si>
  <si>
    <t>양평</t>
  </si>
  <si>
    <t>팔도콩나물국밥</t>
  </si>
  <si>
    <t>형곡뒷고기</t>
  </si>
  <si>
    <t>원호노점</t>
  </si>
  <si>
    <t>다혜원</t>
  </si>
  <si>
    <t>아포아구찜</t>
  </si>
  <si>
    <t>아포dc마트</t>
  </si>
  <si>
    <t>아포킹마트</t>
  </si>
  <si>
    <t>아포팜</t>
  </si>
  <si>
    <t>지성이해물찜</t>
  </si>
  <si>
    <t>김천대구왕뽈찜</t>
  </si>
  <si>
    <t>신음대구왕뽈찜</t>
  </si>
  <si>
    <t>동해수산횟집</t>
  </si>
  <si>
    <t>김천DC마트</t>
  </si>
  <si>
    <t>김천와촌</t>
  </si>
  <si>
    <t>뻘떡낙지</t>
  </si>
  <si>
    <t>양지</t>
  </si>
  <si>
    <t>수영</t>
  </si>
  <si>
    <t>오거리</t>
  </si>
  <si>
    <t>합동식품</t>
  </si>
  <si>
    <t>팔공식품</t>
  </si>
  <si>
    <t>하나로</t>
  </si>
  <si>
    <t>축협하나로</t>
  </si>
  <si>
    <t>아포농협</t>
  </si>
  <si>
    <t>도레미</t>
  </si>
  <si>
    <t>로타리</t>
  </si>
  <si>
    <t>선산식자재마트</t>
  </si>
  <si>
    <t>깜상알밥국시</t>
    <phoneticPr fontId="13" type="noConversion"/>
  </si>
  <si>
    <t>문성팜식자재마트</t>
    <phoneticPr fontId="13" type="noConversion"/>
  </si>
  <si>
    <t>더킹마트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</si>
</sst>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;\-#,##0;&quot;&quot;"/>
  </numFmts>
  <fonts count="14">
    <font>
      <sz val="11"/>
      <color theme="1"/>
      <name val="맑은 고딕"/>
      <family val="2"/>
      <scheme val="minor"/>
    </font>
    <font>
      <b/>
      <sz val="13"/>
      <color rgb="FFFFFFFF"/>
      <name val="Noto Sans CJK SC"/>
      <family val="2"/>
    </font>
    <font>
      <sz val="9"/>
      <color rgb="FF555555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맑은 고딕"/>
      <family val="3"/>
      <charset val="129"/>
    </font>
    <font>
      <sz val="8"/>
      <color rgb="FF1F4E79"/>
      <name val="Noto Sans CJK SC"/>
      <family val="2"/>
    </font>
    <font>
      <sz val="9"/>
      <color rgb="FF888888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sz val="10"/>
      <color rgb="FFC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0"/>
      <color rgb="FF1F4E79"/>
      <name val="Noto Sans CJK SC"/>
      <family val="2"/>
    </font>
    <font>
      <sz val="11"/>
      <color theme="1"/>
      <name val="Noto Sans CJK SC"/>
      <family val="2"/>
    </font>
    <font>
      <sz val="8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0F4F8"/>
      </patternFill>
    </fill>
    <fill>
      <patternFill patternType="solid">
        <fgColor rgb="FFD6E4F0"/>
        <bgColor rgb="FFDDDDDD"/>
      </patternFill>
    </fill>
    <fill>
      <patternFill patternType="solid">
        <fgColor rgb="FFF0F4F8"/>
        <bgColor rgb="FFEBF3FB"/>
      </patternFill>
    </fill>
    <fill>
      <patternFill patternType="solid">
        <fgColor rgb="FFFFFDE7"/>
        <bgColor rgb="FFFAFAFA"/>
      </patternFill>
    </fill>
    <fill>
      <patternFill patternType="solid">
        <fgColor rgb="FF92D050"/>
        <bgColor rgb="FFFAFAFA"/>
      </patternFill>
    </fill>
    <fill>
      <patternFill patternType="solid">
        <fgColor rgb="FFFF9999"/>
        <bgColor rgb="FFFAFAFA"/>
      </patternFill>
    </fill>
    <fill>
      <patternFill patternType="solid">
        <fgColor rgb="FFFFFF00"/>
        <bgColor rgb="FFFAFAFA"/>
      </patternFill>
    </fill>
    <fill>
      <patternFill patternType="solid">
        <fgColor theme="4" tint="0.79998168889431442"/>
        <bgColor rgb="FFFAFAFA"/>
      </patternFill>
    </fill>
    <fill>
      <patternFill patternType="solid">
        <fgColor rgb="FFFF6600"/>
        <bgColor rgb="FFFAFAFA"/>
      </patternFill>
    </fill>
    <fill>
      <patternFill patternType="solid">
        <fgColor theme="3" tint="0.499984740745262"/>
        <bgColor rgb="FFFAFAFA"/>
      </patternFill>
    </fill>
    <fill>
      <patternFill patternType="solid">
        <fgColor theme="7"/>
        <bgColor rgb="FFFAFAFA"/>
      </patternFill>
    </fill>
    <fill>
      <patternFill patternType="solid">
        <fgColor theme="2" tint="-9.9978637043366805E-2"/>
        <bgColor rgb="FFFAFAFA"/>
      </patternFill>
    </fill>
    <fill>
      <patternFill patternType="solid">
        <fgColor rgb="FFFFF0F0"/>
        <bgColor rgb="FFF5F5F5"/>
      </patternFill>
    </fill>
    <fill>
      <patternFill patternType="solid">
        <fgColor rgb="FFFFFFFF"/>
        <bgColor rgb="FFFAFAFA"/>
      </patternFill>
    </fill>
    <fill>
      <patternFill patternType="solid">
        <fgColor rgb="FFF5F9FF"/>
        <bgColor rgb="FFFAFAFA"/>
      </patternFill>
    </fill>
    <fill>
      <patternFill patternType="solid">
        <fgColor theme="9"/>
        <bgColor rgb="FFF5F5F5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AAAAAA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176" fontId="7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177" fontId="7" fillId="8" borderId="4" xfId="0" applyNumberFormat="1" applyFont="1" applyFill="1" applyBorder="1" applyAlignment="1">
      <alignment horizontal="center" vertical="center"/>
    </xf>
    <xf numFmtId="177" fontId="7" fillId="9" borderId="4" xfId="0" applyNumberFormat="1" applyFont="1" applyFill="1" applyBorder="1" applyAlignment="1">
      <alignment horizontal="center" vertical="center"/>
    </xf>
    <xf numFmtId="177" fontId="7" fillId="10" borderId="4" xfId="0" applyNumberFormat="1" applyFont="1" applyFill="1" applyBorder="1" applyAlignment="1">
      <alignment horizontal="center" vertical="center"/>
    </xf>
    <xf numFmtId="177" fontId="7" fillId="11" borderId="4" xfId="0" applyNumberFormat="1" applyFont="1" applyFill="1" applyBorder="1" applyAlignment="1">
      <alignment horizontal="center" vertical="center"/>
    </xf>
    <xf numFmtId="177" fontId="7" fillId="12" borderId="4" xfId="0" applyNumberFormat="1" applyFont="1" applyFill="1" applyBorder="1" applyAlignment="1">
      <alignment horizontal="center" vertical="center"/>
    </xf>
    <xf numFmtId="177" fontId="7" fillId="13" borderId="4" xfId="0" applyNumberFormat="1" applyFont="1" applyFill="1" applyBorder="1" applyAlignment="1">
      <alignment horizontal="center" vertical="center"/>
    </xf>
    <xf numFmtId="177" fontId="7" fillId="14" borderId="4" xfId="0" applyNumberFormat="1" applyFont="1" applyFill="1" applyBorder="1" applyAlignment="1">
      <alignment horizontal="center" vertical="center"/>
    </xf>
    <xf numFmtId="3" fontId="9" fillId="15" borderId="5" xfId="0" applyNumberFormat="1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16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/>
    </xf>
    <xf numFmtId="176" fontId="7" fillId="6" borderId="5" xfId="0" applyNumberFormat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177" fontId="7" fillId="8" borderId="5" xfId="0" applyNumberFormat="1" applyFont="1" applyFill="1" applyBorder="1" applyAlignment="1">
      <alignment horizontal="center" vertical="center"/>
    </xf>
    <xf numFmtId="177" fontId="7" fillId="9" borderId="5" xfId="0" applyNumberFormat="1" applyFont="1" applyFill="1" applyBorder="1" applyAlignment="1">
      <alignment horizontal="center" vertical="center"/>
    </xf>
    <xf numFmtId="177" fontId="7" fillId="10" borderId="5" xfId="0" applyNumberFormat="1" applyFont="1" applyFill="1" applyBorder="1" applyAlignment="1">
      <alignment horizontal="center" vertical="center"/>
    </xf>
    <xf numFmtId="177" fontId="7" fillId="11" borderId="5" xfId="0" applyNumberFormat="1" applyFont="1" applyFill="1" applyBorder="1" applyAlignment="1">
      <alignment horizontal="center" vertical="center"/>
    </xf>
    <xf numFmtId="177" fontId="7" fillId="12" borderId="5" xfId="0" applyNumberFormat="1" applyFont="1" applyFill="1" applyBorder="1" applyAlignment="1">
      <alignment horizontal="center" vertical="center"/>
    </xf>
    <xf numFmtId="177" fontId="7" fillId="13" borderId="5" xfId="0" applyNumberFormat="1" applyFont="1" applyFill="1" applyBorder="1" applyAlignment="1">
      <alignment horizontal="center" vertical="center"/>
    </xf>
    <xf numFmtId="177" fontId="7" fillId="14" borderId="5" xfId="0" applyNumberFormat="1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17" borderId="5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center" vertical="center"/>
    </xf>
    <xf numFmtId="0" fontId="12" fillId="16" borderId="5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center" vertical="center"/>
    </xf>
    <xf numFmtId="3" fontId="9" fillId="18" borderId="5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0"/>
  <sheetViews>
    <sheetView tabSelected="1" topLeftCell="B57" zoomScale="85" zoomScaleNormal="85" workbookViewId="0">
      <selection activeCell="O69" sqref="O69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20260701-001</v>
      </c>
      <c r="B5" s="5">
        <v>46204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20260701-002</v>
      </c>
      <c r="B6" s="19">
        <f t="shared" ref="B6:B37" si="1">$B$5</f>
        <v>46204</v>
      </c>
      <c r="C6" s="20" t="s">
        <v>28</v>
      </c>
      <c r="D6" s="21">
        <v>5</v>
      </c>
      <c r="E6" s="22">
        <v>5</v>
      </c>
      <c r="F6" s="23"/>
      <c r="G6" s="24">
        <v>8</v>
      </c>
      <c r="H6" s="25"/>
      <c r="I6" s="26"/>
      <c r="J6" s="27"/>
      <c r="K6" s="28">
        <v>14</v>
      </c>
      <c r="L6" s="15"/>
      <c r="M6" s="29"/>
      <c r="N6" s="15"/>
      <c r="O6" s="29"/>
      <c r="P6" s="30"/>
    </row>
    <row r="7" spans="1:16">
      <c r="A7" s="18" t="str">
        <f t="shared" si="0"/>
        <v>20260701-003</v>
      </c>
      <c r="B7" s="19">
        <f t="shared" si="1"/>
        <v>46204</v>
      </c>
      <c r="C7" s="20" t="s">
        <v>29</v>
      </c>
      <c r="D7" s="31"/>
      <c r="E7" s="22">
        <v>1</v>
      </c>
      <c r="F7" s="23"/>
      <c r="G7" s="24"/>
      <c r="H7" s="25"/>
      <c r="I7" s="26"/>
      <c r="J7" s="27"/>
      <c r="K7" s="28">
        <v>2</v>
      </c>
      <c r="L7" s="15"/>
      <c r="M7" s="29"/>
      <c r="N7" s="15"/>
      <c r="O7" s="29"/>
      <c r="P7" s="32"/>
    </row>
    <row r="8" spans="1:16">
      <c r="A8" s="18" t="str">
        <f t="shared" si="0"/>
        <v>20260701-004</v>
      </c>
      <c r="B8" s="19">
        <f t="shared" si="1"/>
        <v>46204</v>
      </c>
      <c r="C8" s="20" t="s">
        <v>30</v>
      </c>
      <c r="D8" s="21"/>
      <c r="E8" s="22"/>
      <c r="F8" s="23"/>
      <c r="G8" s="24"/>
      <c r="H8" s="25"/>
      <c r="I8" s="26"/>
      <c r="J8" s="27"/>
      <c r="K8" s="28"/>
      <c r="L8" s="15"/>
      <c r="M8" s="16"/>
      <c r="N8" s="15"/>
      <c r="O8" s="16"/>
      <c r="P8" s="30"/>
    </row>
    <row r="9" spans="1:16">
      <c r="A9" s="18" t="str">
        <f t="shared" si="0"/>
        <v>20260701-005</v>
      </c>
      <c r="B9" s="19">
        <f t="shared" si="1"/>
        <v>46204</v>
      </c>
      <c r="C9" s="20" t="s">
        <v>31</v>
      </c>
      <c r="D9" s="31"/>
      <c r="E9" s="22"/>
      <c r="F9" s="23"/>
      <c r="G9" s="24"/>
      <c r="H9" s="25"/>
      <c r="I9" s="26"/>
      <c r="J9" s="27"/>
      <c r="K9" s="28"/>
      <c r="L9" s="15"/>
      <c r="M9" s="29"/>
      <c r="N9" s="15"/>
      <c r="O9" s="29"/>
      <c r="P9" s="17"/>
    </row>
    <row r="10" spans="1:16">
      <c r="A10" s="18" t="str">
        <f t="shared" si="0"/>
        <v>20260701-006</v>
      </c>
      <c r="B10" s="19">
        <f t="shared" si="1"/>
        <v>46204</v>
      </c>
      <c r="C10" s="20" t="s">
        <v>32</v>
      </c>
      <c r="D10" s="21"/>
      <c r="E10" s="22"/>
      <c r="F10" s="23"/>
      <c r="G10" s="24"/>
      <c r="H10" s="25"/>
      <c r="I10" s="26">
        <v>2</v>
      </c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20260701-007</v>
      </c>
      <c r="B11" s="19">
        <f t="shared" si="1"/>
        <v>46204</v>
      </c>
      <c r="C11" s="20" t="s">
        <v>33</v>
      </c>
      <c r="D11" s="31"/>
      <c r="E11" s="22"/>
      <c r="F11" s="23"/>
      <c r="G11" s="24"/>
      <c r="H11" s="25">
        <v>15</v>
      </c>
      <c r="I11" s="26">
        <v>10</v>
      </c>
      <c r="J11" s="27">
        <v>10</v>
      </c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20260701-008</v>
      </c>
      <c r="B12" s="19">
        <f t="shared" si="1"/>
        <v>46204</v>
      </c>
      <c r="C12" s="33" t="s">
        <v>34</v>
      </c>
      <c r="D12" s="21">
        <v>10</v>
      </c>
      <c r="E12" s="22">
        <v>13</v>
      </c>
      <c r="F12" s="23"/>
      <c r="G12" s="24">
        <v>12</v>
      </c>
      <c r="H12" s="25"/>
      <c r="I12" s="26"/>
      <c r="J12" s="27"/>
      <c r="K12" s="28">
        <v>31</v>
      </c>
      <c r="L12" s="15"/>
      <c r="M12" s="16"/>
      <c r="N12" s="15"/>
      <c r="O12" s="16"/>
      <c r="P12" s="30"/>
    </row>
    <row r="13" spans="1:16">
      <c r="A13" s="18" t="str">
        <f t="shared" si="0"/>
        <v>20260701-009</v>
      </c>
      <c r="B13" s="19">
        <f t="shared" si="1"/>
        <v>46204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20260701-010</v>
      </c>
      <c r="B14" s="19">
        <f t="shared" si="1"/>
        <v>46204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20260701-011</v>
      </c>
      <c r="B15" s="19">
        <f t="shared" si="1"/>
        <v>46204</v>
      </c>
      <c r="C15" s="33" t="s">
        <v>36</v>
      </c>
      <c r="D15" s="31"/>
      <c r="E15" s="22"/>
      <c r="F15" s="23"/>
      <c r="G15" s="24"/>
      <c r="H15" s="25">
        <v>13</v>
      </c>
      <c r="I15" s="26"/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20260701-012</v>
      </c>
      <c r="B16" s="19">
        <f t="shared" si="1"/>
        <v>46204</v>
      </c>
      <c r="C16" s="20" t="s">
        <v>37</v>
      </c>
      <c r="D16" s="21"/>
      <c r="E16" s="22"/>
      <c r="F16" s="23"/>
      <c r="G16" s="24"/>
      <c r="H16" s="25">
        <v>5</v>
      </c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20260701-013</v>
      </c>
      <c r="B17" s="19">
        <f t="shared" si="1"/>
        <v>46204</v>
      </c>
      <c r="C17" s="20" t="s">
        <v>38</v>
      </c>
      <c r="D17" s="31"/>
      <c r="E17" s="22"/>
      <c r="F17" s="23"/>
      <c r="G17" s="24">
        <v>1</v>
      </c>
      <c r="H17" s="25">
        <v>1</v>
      </c>
      <c r="I17" s="26"/>
      <c r="J17" s="27">
        <v>1</v>
      </c>
      <c r="K17" s="28">
        <v>1</v>
      </c>
      <c r="L17" s="15"/>
      <c r="M17" s="16"/>
      <c r="N17" s="15"/>
      <c r="O17" s="16"/>
      <c r="P17" s="17"/>
    </row>
    <row r="18" spans="1:16">
      <c r="A18" s="18" t="str">
        <f t="shared" si="0"/>
        <v>20260701-014</v>
      </c>
      <c r="B18" s="19">
        <f t="shared" si="1"/>
        <v>46204</v>
      </c>
      <c r="C18" s="20" t="s">
        <v>39</v>
      </c>
      <c r="D18" s="21"/>
      <c r="E18" s="22"/>
      <c r="F18" s="23"/>
      <c r="G18" s="24"/>
      <c r="H18" s="25"/>
      <c r="I18" s="26"/>
      <c r="J18" s="27"/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20260701-015</v>
      </c>
      <c r="B19" s="19">
        <f t="shared" si="1"/>
        <v>46204</v>
      </c>
      <c r="C19" s="20" t="s">
        <v>40</v>
      </c>
      <c r="D19" s="31"/>
      <c r="E19" s="22">
        <v>1</v>
      </c>
      <c r="F19" s="23"/>
      <c r="G19" s="24"/>
      <c r="H19" s="25"/>
      <c r="I19" s="26"/>
      <c r="J19" s="27"/>
      <c r="K19" s="28"/>
      <c r="L19" s="15"/>
      <c r="M19" s="16"/>
      <c r="N19" s="15"/>
      <c r="O19" s="16"/>
      <c r="P19" s="17"/>
    </row>
    <row r="20" spans="1:16">
      <c r="A20" s="18" t="str">
        <f t="shared" si="0"/>
        <v>20260701-016</v>
      </c>
      <c r="B20" s="19">
        <f t="shared" si="1"/>
        <v>46204</v>
      </c>
      <c r="C20" s="20" t="s">
        <v>41</v>
      </c>
      <c r="D20" s="21"/>
      <c r="E20" s="22"/>
      <c r="F20" s="23"/>
      <c r="G20" s="24">
        <v>1</v>
      </c>
      <c r="H20" s="25"/>
      <c r="I20" s="26"/>
      <c r="J20" s="27"/>
      <c r="K20" s="28">
        <v>1</v>
      </c>
      <c r="L20" s="15"/>
      <c r="M20" s="16"/>
      <c r="N20" s="15"/>
      <c r="O20" s="16"/>
      <c r="P20" s="30"/>
    </row>
    <row r="21" spans="1:16">
      <c r="A21" s="18" t="str">
        <f t="shared" si="0"/>
        <v>20260701-017</v>
      </c>
      <c r="B21" s="19">
        <f t="shared" si="1"/>
        <v>46204</v>
      </c>
      <c r="C21" s="20" t="s">
        <v>42</v>
      </c>
      <c r="D21" s="31"/>
      <c r="E21" s="22">
        <v>1</v>
      </c>
      <c r="F21" s="23"/>
      <c r="G21" s="24">
        <v>1</v>
      </c>
      <c r="H21" s="25"/>
      <c r="I21" s="26"/>
      <c r="J21" s="27"/>
      <c r="K21" s="28">
        <v>1</v>
      </c>
      <c r="L21" s="15"/>
      <c r="M21" s="16"/>
      <c r="N21" s="15"/>
      <c r="O21" s="16"/>
      <c r="P21" s="17"/>
    </row>
    <row r="22" spans="1:16">
      <c r="A22" s="18" t="str">
        <f t="shared" si="0"/>
        <v>20260701-018</v>
      </c>
      <c r="B22" s="19">
        <f t="shared" si="1"/>
        <v>46204</v>
      </c>
      <c r="C22" s="20" t="s">
        <v>43</v>
      </c>
      <c r="D22" s="21"/>
      <c r="E22" s="22">
        <v>1</v>
      </c>
      <c r="F22" s="23"/>
      <c r="G22" s="24">
        <v>1</v>
      </c>
      <c r="H22" s="25">
        <v>2</v>
      </c>
      <c r="I22" s="26">
        <v>7</v>
      </c>
      <c r="J22" s="27"/>
      <c r="K22" s="28">
        <v>3</v>
      </c>
      <c r="L22" s="15"/>
      <c r="M22" s="16"/>
      <c r="N22" s="15"/>
      <c r="O22" s="16"/>
      <c r="P22" s="30"/>
    </row>
    <row r="23" spans="1:16">
      <c r="A23" s="18" t="str">
        <f t="shared" si="0"/>
        <v>20260701-019</v>
      </c>
      <c r="B23" s="19">
        <f t="shared" si="1"/>
        <v>46204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20260701-020</v>
      </c>
      <c r="B24" s="19">
        <f t="shared" si="1"/>
        <v>46204</v>
      </c>
      <c r="C24" s="20" t="s">
        <v>45</v>
      </c>
      <c r="D24" s="21"/>
      <c r="E24" s="22"/>
      <c r="F24" s="23"/>
      <c r="G24" s="24"/>
      <c r="H24" s="25">
        <v>3</v>
      </c>
      <c r="I24" s="26">
        <v>2</v>
      </c>
      <c r="J24" s="27">
        <v>2</v>
      </c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20260701-021</v>
      </c>
      <c r="B25" s="19">
        <f t="shared" si="1"/>
        <v>46204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20260701-022</v>
      </c>
      <c r="B26" s="19">
        <f t="shared" si="1"/>
        <v>46204</v>
      </c>
      <c r="C26" s="20" t="s">
        <v>47</v>
      </c>
      <c r="D26" s="21"/>
      <c r="E26" s="22"/>
      <c r="F26" s="23"/>
      <c r="G26" s="24"/>
      <c r="H26" s="25"/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20260701-023</v>
      </c>
      <c r="B27" s="19">
        <f t="shared" si="1"/>
        <v>46204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20260701-024</v>
      </c>
      <c r="B28" s="19">
        <f t="shared" si="1"/>
        <v>46204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20260701-025</v>
      </c>
      <c r="B29" s="19">
        <f t="shared" si="1"/>
        <v>46204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20260701-026</v>
      </c>
      <c r="B30" s="19">
        <f t="shared" si="1"/>
        <v>46204</v>
      </c>
      <c r="C30" s="20" t="s">
        <v>51</v>
      </c>
      <c r="D30" s="21"/>
      <c r="E30" s="22">
        <v>2</v>
      </c>
      <c r="F30" s="23"/>
      <c r="G30" s="24">
        <v>2</v>
      </c>
      <c r="H30" s="25"/>
      <c r="I30" s="26"/>
      <c r="J30" s="27"/>
      <c r="K30" s="28">
        <v>5</v>
      </c>
      <c r="L30" s="15"/>
      <c r="M30" s="16"/>
      <c r="N30" s="15"/>
      <c r="O30" s="16"/>
      <c r="P30" s="30"/>
    </row>
    <row r="31" spans="1:16">
      <c r="A31" s="18" t="str">
        <f t="shared" si="0"/>
        <v>20260701-027</v>
      </c>
      <c r="B31" s="19">
        <f t="shared" si="1"/>
        <v>46204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20260701-028</v>
      </c>
      <c r="B32" s="19">
        <f t="shared" si="1"/>
        <v>46204</v>
      </c>
      <c r="C32" s="20" t="s">
        <v>53</v>
      </c>
      <c r="D32" s="21"/>
      <c r="E32" s="22">
        <v>2</v>
      </c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20260701-029</v>
      </c>
      <c r="B33" s="19">
        <f t="shared" si="1"/>
        <v>46204</v>
      </c>
      <c r="C33" s="20" t="s">
        <v>54</v>
      </c>
      <c r="D33" s="31"/>
      <c r="E33" s="22"/>
      <c r="F33" s="23"/>
      <c r="G33" s="24">
        <v>3</v>
      </c>
      <c r="H33" s="25"/>
      <c r="I33" s="26"/>
      <c r="J33" s="27"/>
      <c r="K33" s="28">
        <v>2</v>
      </c>
      <c r="L33" s="15"/>
      <c r="M33" s="16"/>
      <c r="N33" s="15"/>
      <c r="O33" s="16"/>
      <c r="P33" s="17"/>
    </row>
    <row r="34" spans="1:16">
      <c r="A34" s="18" t="str">
        <f t="shared" si="0"/>
        <v>20260701-030</v>
      </c>
      <c r="B34" s="19">
        <f t="shared" si="1"/>
        <v>46204</v>
      </c>
      <c r="C34" s="20" t="s">
        <v>55</v>
      </c>
      <c r="D34" s="21"/>
      <c r="E34" s="22"/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20260701-031</v>
      </c>
      <c r="B35" s="19">
        <f t="shared" si="1"/>
        <v>46204</v>
      </c>
      <c r="C35" s="20" t="s">
        <v>56</v>
      </c>
      <c r="D35" s="31"/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20260701-032</v>
      </c>
      <c r="B36" s="19">
        <f t="shared" si="1"/>
        <v>46204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20260701-033</v>
      </c>
      <c r="B37" s="19">
        <f t="shared" si="1"/>
        <v>46204</v>
      </c>
      <c r="C37" s="20" t="s">
        <v>58</v>
      </c>
      <c r="D37" s="31">
        <v>20</v>
      </c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20260701-034</v>
      </c>
      <c r="B38" s="19">
        <f t="shared" ref="B38:B69" si="3">$B$5</f>
        <v>46204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20260701-035</v>
      </c>
      <c r="B39" s="19">
        <f t="shared" si="3"/>
        <v>46204</v>
      </c>
      <c r="C39" s="20" t="s">
        <v>102</v>
      </c>
      <c r="D39" s="31"/>
      <c r="E39" s="22"/>
      <c r="F39" s="23"/>
      <c r="G39" s="24">
        <v>1</v>
      </c>
      <c r="H39" s="25"/>
      <c r="I39" s="26"/>
      <c r="J39" s="27"/>
      <c r="K39" s="28">
        <v>1</v>
      </c>
      <c r="L39" s="15"/>
      <c r="M39" s="16"/>
      <c r="N39" s="15"/>
      <c r="O39" s="16"/>
      <c r="P39" s="17"/>
    </row>
    <row r="40" spans="1:16">
      <c r="A40" s="18" t="str">
        <f t="shared" si="2"/>
        <v>20260701-036</v>
      </c>
      <c r="B40" s="19">
        <f t="shared" si="3"/>
        <v>46204</v>
      </c>
      <c r="C40" s="20" t="s">
        <v>61</v>
      </c>
      <c r="D40" s="21"/>
      <c r="E40" s="22"/>
      <c r="F40" s="23">
        <v>2</v>
      </c>
      <c r="G40" s="24"/>
      <c r="H40" s="25"/>
      <c r="I40" s="26"/>
      <c r="J40" s="27"/>
      <c r="K40" s="28">
        <v>2</v>
      </c>
      <c r="L40" s="15"/>
      <c r="M40" s="16"/>
      <c r="N40" s="15"/>
      <c r="O40" s="16"/>
      <c r="P40" s="30"/>
    </row>
    <row r="41" spans="1:16">
      <c r="A41" s="18" t="str">
        <f t="shared" si="2"/>
        <v>20260701-037</v>
      </c>
      <c r="B41" s="19">
        <f t="shared" si="3"/>
        <v>46204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20260701-038</v>
      </c>
      <c r="B42" s="19">
        <f t="shared" si="3"/>
        <v>46204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20260701-039</v>
      </c>
      <c r="B43" s="19">
        <f t="shared" si="3"/>
        <v>46204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20260701-040</v>
      </c>
      <c r="B44" s="19">
        <f t="shared" si="3"/>
        <v>46204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20260701-041</v>
      </c>
      <c r="B45" s="19">
        <f t="shared" si="3"/>
        <v>46204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20260701-042</v>
      </c>
      <c r="B46" s="19">
        <f t="shared" si="3"/>
        <v>46204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20260701-043</v>
      </c>
      <c r="B47" s="19">
        <f t="shared" si="3"/>
        <v>46204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20260701-044</v>
      </c>
      <c r="B48" s="19">
        <f t="shared" si="3"/>
        <v>46204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20260701-045</v>
      </c>
      <c r="B49" s="19">
        <f t="shared" si="3"/>
        <v>46204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20260701-046</v>
      </c>
      <c r="B50" s="19">
        <f t="shared" si="3"/>
        <v>46204</v>
      </c>
      <c r="C50" s="20" t="s">
        <v>71</v>
      </c>
      <c r="D50" s="21"/>
      <c r="E50" s="22">
        <v>1</v>
      </c>
      <c r="F50" s="23"/>
      <c r="G50" s="24"/>
      <c r="H50" s="25"/>
      <c r="I50" s="26"/>
      <c r="J50" s="27"/>
      <c r="K50" s="28">
        <v>1</v>
      </c>
      <c r="L50" s="15"/>
      <c r="M50" s="16"/>
      <c r="N50" s="15"/>
      <c r="O50" s="16"/>
      <c r="P50" s="30"/>
    </row>
    <row r="51" spans="1:16">
      <c r="A51" s="18" t="str">
        <f t="shared" si="2"/>
        <v>20260701-047</v>
      </c>
      <c r="B51" s="19">
        <f t="shared" si="3"/>
        <v>46204</v>
      </c>
      <c r="C51" s="20" t="s">
        <v>72</v>
      </c>
      <c r="D51" s="31"/>
      <c r="E51" s="22"/>
      <c r="F51" s="23"/>
      <c r="G51" s="24">
        <v>1</v>
      </c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20260701-048</v>
      </c>
      <c r="B52" s="19">
        <f t="shared" si="3"/>
        <v>46204</v>
      </c>
      <c r="C52" s="20" t="s">
        <v>73</v>
      </c>
      <c r="D52" s="21"/>
      <c r="E52" s="22">
        <v>2</v>
      </c>
      <c r="F52" s="23"/>
      <c r="G52" s="24"/>
      <c r="H52" s="25"/>
      <c r="I52" s="26"/>
      <c r="J52" s="27"/>
      <c r="K52" s="28">
        <v>2</v>
      </c>
      <c r="L52" s="15"/>
      <c r="M52" s="16"/>
      <c r="N52" s="15"/>
      <c r="O52" s="16"/>
      <c r="P52" s="30"/>
    </row>
    <row r="53" spans="1:16">
      <c r="A53" s="18" t="str">
        <f t="shared" si="2"/>
        <v>20260701-049</v>
      </c>
      <c r="B53" s="19">
        <f t="shared" si="3"/>
        <v>46204</v>
      </c>
      <c r="C53" s="20" t="s">
        <v>74</v>
      </c>
      <c r="D53" s="31"/>
      <c r="E53" s="22"/>
      <c r="F53" s="23"/>
      <c r="G53" s="24"/>
      <c r="H53" s="25"/>
      <c r="I53" s="26">
        <v>2</v>
      </c>
      <c r="J53" s="27">
        <v>1</v>
      </c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20260701-050</v>
      </c>
      <c r="B54" s="19">
        <f t="shared" si="3"/>
        <v>46204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20260701-051</v>
      </c>
      <c r="B55" s="19">
        <f t="shared" si="3"/>
        <v>46204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20260701-052</v>
      </c>
      <c r="B56" s="19">
        <f t="shared" si="3"/>
        <v>46204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20260701-053</v>
      </c>
      <c r="B57" s="19">
        <f t="shared" si="3"/>
        <v>46204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20260701-054</v>
      </c>
      <c r="B58" s="19">
        <f t="shared" si="3"/>
        <v>46204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20260701-055</v>
      </c>
      <c r="B59" s="19">
        <f t="shared" si="3"/>
        <v>46204</v>
      </c>
      <c r="C59" s="20" t="s">
        <v>80</v>
      </c>
      <c r="D59" s="31"/>
      <c r="E59" s="22">
        <v>1</v>
      </c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20260701-056</v>
      </c>
      <c r="B60" s="19">
        <f t="shared" si="3"/>
        <v>46204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20260701-057</v>
      </c>
      <c r="B61" s="19">
        <f t="shared" si="3"/>
        <v>46204</v>
      </c>
      <c r="C61" s="20" t="s">
        <v>82</v>
      </c>
      <c r="D61" s="21"/>
      <c r="E61" s="22">
        <v>2</v>
      </c>
      <c r="F61" s="23"/>
      <c r="G61" s="24">
        <v>2</v>
      </c>
      <c r="H61" s="25"/>
      <c r="I61" s="26"/>
      <c r="J61" s="27">
        <v>5</v>
      </c>
      <c r="K61" s="28">
        <v>4</v>
      </c>
      <c r="L61" s="15"/>
      <c r="M61" s="16"/>
      <c r="N61" s="15"/>
      <c r="O61" s="16"/>
      <c r="P61" s="30"/>
    </row>
    <row r="62" spans="1:16">
      <c r="A62" s="18" t="str">
        <f t="shared" si="2"/>
        <v>20260701-058</v>
      </c>
      <c r="B62" s="19">
        <f t="shared" si="3"/>
        <v>46204</v>
      </c>
      <c r="C62" s="20" t="s">
        <v>83</v>
      </c>
      <c r="D62" s="31"/>
      <c r="E62" s="22"/>
      <c r="F62" s="23"/>
      <c r="G62" s="24"/>
      <c r="H62" s="25">
        <v>3</v>
      </c>
      <c r="I62" s="26">
        <v>3</v>
      </c>
      <c r="J62" s="27"/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20260701-059</v>
      </c>
      <c r="B63" s="19">
        <f t="shared" si="3"/>
        <v>46204</v>
      </c>
      <c r="C63" s="20" t="s">
        <v>84</v>
      </c>
      <c r="D63" s="21">
        <v>10</v>
      </c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20260701-060</v>
      </c>
      <c r="B64" s="19">
        <f t="shared" si="3"/>
        <v>46204</v>
      </c>
      <c r="C64" s="20" t="s">
        <v>85</v>
      </c>
      <c r="D64" s="31"/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20260701-061</v>
      </c>
      <c r="B65" s="19">
        <f t="shared" si="3"/>
        <v>46204</v>
      </c>
      <c r="C65" s="20" t="s">
        <v>86</v>
      </c>
      <c r="D65" s="21">
        <v>30</v>
      </c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20260701-062</v>
      </c>
      <c r="B66" s="19">
        <f t="shared" si="3"/>
        <v>46204</v>
      </c>
      <c r="C66" s="20" t="s">
        <v>87</v>
      </c>
      <c r="D66" s="31">
        <v>10</v>
      </c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20260701-063</v>
      </c>
      <c r="B67" s="19">
        <f t="shared" si="3"/>
        <v>46204</v>
      </c>
      <c r="C67" s="20" t="s">
        <v>88</v>
      </c>
      <c r="D67" s="21"/>
      <c r="E67" s="22"/>
      <c r="F67" s="23"/>
      <c r="G67" s="24"/>
      <c r="H67" s="25">
        <v>10</v>
      </c>
      <c r="I67" s="26">
        <v>8</v>
      </c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20260701-064</v>
      </c>
      <c r="B68" s="19">
        <f t="shared" si="3"/>
        <v>46204</v>
      </c>
      <c r="C68" s="20" t="s">
        <v>89</v>
      </c>
      <c r="D68" s="31"/>
      <c r="E68" s="22">
        <v>3</v>
      </c>
      <c r="F68" s="23"/>
      <c r="G68" s="24"/>
      <c r="H68" s="25"/>
      <c r="I68" s="26"/>
      <c r="J68" s="27"/>
      <c r="K68" s="28">
        <v>3</v>
      </c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20260701-065</v>
      </c>
      <c r="B69" s="19">
        <f t="shared" si="3"/>
        <v>46204</v>
      </c>
      <c r="C69" s="20" t="s">
        <v>90</v>
      </c>
      <c r="D69" s="21"/>
      <c r="E69" s="22"/>
      <c r="F69" s="23"/>
      <c r="G69" s="24"/>
      <c r="H69" s="25">
        <v>2</v>
      </c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20260701-066</v>
      </c>
      <c r="B70" s="19">
        <f t="shared" ref="B70:B80" si="5">$B$5</f>
        <v>46204</v>
      </c>
      <c r="C70" s="20" t="s">
        <v>91</v>
      </c>
      <c r="D70" s="31"/>
      <c r="E70" s="22"/>
      <c r="F70" s="23"/>
      <c r="G70" s="24">
        <v>1</v>
      </c>
      <c r="H70" s="25"/>
      <c r="I70" s="26"/>
      <c r="J70" s="27">
        <v>1</v>
      </c>
      <c r="K70" s="28">
        <v>1</v>
      </c>
      <c r="L70" s="15"/>
      <c r="M70" s="16"/>
      <c r="N70" s="15"/>
      <c r="O70" s="16"/>
      <c r="P70" s="17"/>
    </row>
    <row r="71" spans="1:16">
      <c r="A71" s="18" t="str">
        <f t="shared" si="4"/>
        <v>20260701-067</v>
      </c>
      <c r="B71" s="19">
        <f t="shared" si="5"/>
        <v>46204</v>
      </c>
      <c r="C71" s="20" t="s">
        <v>92</v>
      </c>
      <c r="D71" s="21"/>
      <c r="E71" s="22"/>
      <c r="F71" s="23"/>
      <c r="G71" s="24">
        <v>1</v>
      </c>
      <c r="H71" s="25"/>
      <c r="I71" s="26"/>
      <c r="J71" s="27"/>
      <c r="K71" s="28">
        <v>1</v>
      </c>
      <c r="L71" s="15"/>
      <c r="M71" s="16"/>
      <c r="N71" s="15"/>
      <c r="O71" s="16"/>
      <c r="P71" s="30"/>
    </row>
    <row r="72" spans="1:16">
      <c r="A72" s="18" t="str">
        <f t="shared" si="4"/>
        <v>20260701-068</v>
      </c>
      <c r="B72" s="19">
        <f t="shared" si="5"/>
        <v>46204</v>
      </c>
      <c r="C72" s="20" t="s">
        <v>93</v>
      </c>
      <c r="D72" s="31"/>
      <c r="E72" s="22">
        <v>2</v>
      </c>
      <c r="F72" s="23"/>
      <c r="G72" s="24"/>
      <c r="H72" s="25"/>
      <c r="I72" s="26"/>
      <c r="J72" s="27"/>
      <c r="K72" s="28">
        <v>1</v>
      </c>
      <c r="L72" s="15"/>
      <c r="M72" s="16"/>
      <c r="N72" s="15"/>
      <c r="O72" s="16"/>
      <c r="P72" s="17"/>
    </row>
    <row r="73" spans="1:16">
      <c r="A73" s="18" t="str">
        <f t="shared" si="4"/>
        <v>20260701-069</v>
      </c>
      <c r="B73" s="19">
        <f t="shared" si="5"/>
        <v>46204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20260701-070</v>
      </c>
      <c r="B74" s="19">
        <f t="shared" si="5"/>
        <v>46204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1</v>
      </c>
      <c r="M74" s="16">
        <v>3</v>
      </c>
      <c r="N74" s="15"/>
      <c r="O74" s="16"/>
    </row>
    <row r="75" spans="1:16">
      <c r="A75" s="18" t="str">
        <f t="shared" si="4"/>
        <v>20260701-071</v>
      </c>
      <c r="B75" s="19">
        <f t="shared" si="5"/>
        <v>46204</v>
      </c>
      <c r="C75" s="20" t="s">
        <v>96</v>
      </c>
      <c r="D75" s="21"/>
      <c r="E75" s="22"/>
      <c r="F75" s="23"/>
      <c r="G75" s="24">
        <v>2</v>
      </c>
      <c r="H75" s="25"/>
      <c r="I75" s="26"/>
      <c r="J75" s="27"/>
      <c r="K75" s="28">
        <v>2</v>
      </c>
      <c r="L75" s="15"/>
      <c r="M75" s="16"/>
      <c r="N75" s="15"/>
      <c r="O75" s="16"/>
      <c r="P75" s="30"/>
    </row>
    <row r="76" spans="1:16">
      <c r="A76" s="18" t="str">
        <f t="shared" si="4"/>
        <v>20260701-072</v>
      </c>
      <c r="B76" s="19">
        <f t="shared" si="5"/>
        <v>46204</v>
      </c>
      <c r="C76" s="20" t="s">
        <v>97</v>
      </c>
      <c r="D76" s="31"/>
      <c r="E76" s="22"/>
      <c r="F76" s="23"/>
      <c r="G76" s="24">
        <v>1</v>
      </c>
      <c r="H76" s="25"/>
      <c r="I76" s="26"/>
      <c r="J76" s="27"/>
      <c r="K76" s="28">
        <v>1</v>
      </c>
      <c r="L76" s="15"/>
      <c r="M76" s="16"/>
      <c r="N76" s="15"/>
      <c r="O76" s="16"/>
    </row>
    <row r="77" spans="1:16">
      <c r="A77" s="18" t="str">
        <f t="shared" si="4"/>
        <v>20260701-073</v>
      </c>
      <c r="B77" s="19">
        <f t="shared" si="5"/>
        <v>46204</v>
      </c>
      <c r="C77" s="20" t="s">
        <v>98</v>
      </c>
      <c r="D77" s="21"/>
      <c r="E77" s="22"/>
      <c r="F77" s="23"/>
      <c r="G77" s="24">
        <v>1</v>
      </c>
      <c r="H77" s="25"/>
      <c r="I77" s="26"/>
      <c r="J77" s="27"/>
      <c r="K77" s="28"/>
      <c r="L77" s="34">
        <v>1</v>
      </c>
      <c r="M77" s="16"/>
      <c r="N77" s="15"/>
      <c r="O77" s="16"/>
      <c r="P77" s="30"/>
    </row>
    <row r="78" spans="1:16">
      <c r="A78" s="18" t="str">
        <f t="shared" si="4"/>
        <v>20260701-074</v>
      </c>
      <c r="B78" s="19">
        <f t="shared" si="5"/>
        <v>46204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20260701-075</v>
      </c>
      <c r="B79" s="19">
        <f t="shared" si="5"/>
        <v>46204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20260701-076</v>
      </c>
      <c r="B80" s="19">
        <f t="shared" si="5"/>
        <v>46204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"/>
  <sheetViews>
    <sheetView topLeftCell="A45" zoomScale="70" zoomScaleNormal="70" workbookViewId="0">
      <selection activeCell="C14" sqref="C1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20260702-001</v>
      </c>
      <c r="B5" s="5">
        <v>46205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20260702-002</v>
      </c>
      <c r="B6" s="19">
        <f t="shared" ref="B6:B37" si="1">$B$5</f>
        <v>46205</v>
      </c>
      <c r="C6" s="20" t="s">
        <v>28</v>
      </c>
      <c r="D6" s="21">
        <v>5</v>
      </c>
      <c r="E6" s="22">
        <v>4</v>
      </c>
      <c r="F6" s="23"/>
      <c r="G6" s="24">
        <v>5</v>
      </c>
      <c r="H6" s="25"/>
      <c r="I6" s="26"/>
      <c r="J6" s="27"/>
      <c r="K6" s="28">
        <v>7</v>
      </c>
      <c r="L6" s="15"/>
      <c r="M6" s="29"/>
      <c r="N6" s="15"/>
      <c r="O6" s="29"/>
      <c r="P6" s="30"/>
    </row>
    <row r="7" spans="1:16">
      <c r="A7" s="18" t="str">
        <f t="shared" si="0"/>
        <v>20260702-003</v>
      </c>
      <c r="B7" s="19">
        <f t="shared" si="1"/>
        <v>46205</v>
      </c>
      <c r="C7" s="20" t="s">
        <v>29</v>
      </c>
      <c r="D7" s="31"/>
      <c r="E7" s="22"/>
      <c r="F7" s="23"/>
      <c r="G7" s="24"/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20260702-004</v>
      </c>
      <c r="B8" s="19">
        <f t="shared" si="1"/>
        <v>46205</v>
      </c>
      <c r="C8" s="20" t="s">
        <v>30</v>
      </c>
      <c r="D8" s="21"/>
      <c r="E8" s="22">
        <v>2</v>
      </c>
      <c r="F8" s="23"/>
      <c r="G8" s="24">
        <v>1</v>
      </c>
      <c r="H8" s="25"/>
      <c r="I8" s="26"/>
      <c r="J8" s="27"/>
      <c r="K8" s="28">
        <v>5</v>
      </c>
      <c r="L8" s="15"/>
      <c r="M8" s="16"/>
      <c r="N8" s="15"/>
      <c r="O8" s="16"/>
      <c r="P8" s="30"/>
    </row>
    <row r="9" spans="1:16">
      <c r="A9" s="18" t="str">
        <f t="shared" si="0"/>
        <v>20260702-005</v>
      </c>
      <c r="B9" s="19">
        <f t="shared" si="1"/>
        <v>46205</v>
      </c>
      <c r="C9" s="20" t="s">
        <v>31</v>
      </c>
      <c r="D9" s="31"/>
      <c r="E9" s="22"/>
      <c r="F9" s="23"/>
      <c r="G9" s="24">
        <v>1</v>
      </c>
      <c r="H9" s="25"/>
      <c r="I9" s="26"/>
      <c r="J9" s="27"/>
      <c r="K9" s="28">
        <v>1</v>
      </c>
      <c r="L9" s="15"/>
      <c r="M9" s="29"/>
      <c r="N9" s="15"/>
      <c r="O9" s="29"/>
      <c r="P9" s="17"/>
    </row>
    <row r="10" spans="1:16">
      <c r="A10" s="18" t="str">
        <f t="shared" si="0"/>
        <v>20260702-006</v>
      </c>
      <c r="B10" s="19">
        <f t="shared" si="1"/>
        <v>46205</v>
      </c>
      <c r="C10" s="20" t="s">
        <v>32</v>
      </c>
      <c r="D10" s="21"/>
      <c r="E10" s="22"/>
      <c r="F10" s="23"/>
      <c r="G10" s="24"/>
      <c r="H10" s="25"/>
      <c r="I10" s="26"/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20260702-007</v>
      </c>
      <c r="B11" s="19">
        <f t="shared" si="1"/>
        <v>46205</v>
      </c>
      <c r="C11" s="20" t="s">
        <v>33</v>
      </c>
      <c r="D11" s="31"/>
      <c r="E11" s="22"/>
      <c r="F11" s="23"/>
      <c r="G11" s="24"/>
      <c r="H11" s="25">
        <v>30</v>
      </c>
      <c r="I11" s="26">
        <v>30</v>
      </c>
      <c r="J11" s="27">
        <v>10</v>
      </c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20260702-008</v>
      </c>
      <c r="B12" s="19">
        <f t="shared" si="1"/>
        <v>46205</v>
      </c>
      <c r="C12" s="33" t="s">
        <v>34</v>
      </c>
      <c r="D12" s="21">
        <v>10</v>
      </c>
      <c r="E12" s="22">
        <v>5</v>
      </c>
      <c r="F12" s="23"/>
      <c r="G12" s="24">
        <v>5</v>
      </c>
      <c r="H12" s="25"/>
      <c r="I12" s="26"/>
      <c r="J12" s="27"/>
      <c r="K12" s="28">
        <v>8</v>
      </c>
      <c r="L12" s="15"/>
      <c r="M12" s="16"/>
      <c r="N12" s="15"/>
      <c r="O12" s="16"/>
      <c r="P12" s="30"/>
    </row>
    <row r="13" spans="1:16">
      <c r="A13" s="18" t="str">
        <f t="shared" si="0"/>
        <v>20260702-009</v>
      </c>
      <c r="B13" s="19">
        <f t="shared" si="1"/>
        <v>46205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20260702-010</v>
      </c>
      <c r="B14" s="19">
        <f t="shared" si="1"/>
        <v>46205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20260702-011</v>
      </c>
      <c r="B15" s="19">
        <f t="shared" si="1"/>
        <v>46205</v>
      </c>
      <c r="C15" s="33" t="s">
        <v>36</v>
      </c>
      <c r="D15" s="31"/>
      <c r="E15" s="22"/>
      <c r="F15" s="23"/>
      <c r="G15" s="24"/>
      <c r="H15" s="25">
        <v>4</v>
      </c>
      <c r="I15" s="26">
        <v>5</v>
      </c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20260702-012</v>
      </c>
      <c r="B16" s="19">
        <f t="shared" si="1"/>
        <v>46205</v>
      </c>
      <c r="C16" s="20" t="s">
        <v>37</v>
      </c>
      <c r="D16" s="21"/>
      <c r="E16" s="22"/>
      <c r="F16" s="23"/>
      <c r="G16" s="24"/>
      <c r="H16" s="25"/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20260702-013</v>
      </c>
      <c r="B17" s="19">
        <f t="shared" si="1"/>
        <v>46205</v>
      </c>
      <c r="C17" s="20" t="s">
        <v>38</v>
      </c>
      <c r="D17" s="31"/>
      <c r="E17" s="22"/>
      <c r="F17" s="23"/>
      <c r="G17" s="24">
        <v>1</v>
      </c>
      <c r="H17" s="25"/>
      <c r="I17" s="26"/>
      <c r="J17" s="27">
        <v>1</v>
      </c>
      <c r="K17" s="28">
        <v>1</v>
      </c>
      <c r="L17" s="15"/>
      <c r="M17" s="16"/>
      <c r="N17" s="15"/>
      <c r="O17" s="16"/>
      <c r="P17" s="17"/>
    </row>
    <row r="18" spans="1:16">
      <c r="A18" s="18" t="str">
        <f t="shared" si="0"/>
        <v>20260702-014</v>
      </c>
      <c r="B18" s="19">
        <f t="shared" si="1"/>
        <v>46205</v>
      </c>
      <c r="C18" s="20" t="s">
        <v>39</v>
      </c>
      <c r="D18" s="21"/>
      <c r="E18" s="22"/>
      <c r="F18" s="23"/>
      <c r="G18" s="24"/>
      <c r="H18" s="25">
        <v>1</v>
      </c>
      <c r="I18" s="26">
        <v>1</v>
      </c>
      <c r="J18" s="27">
        <v>1</v>
      </c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20260702-015</v>
      </c>
      <c r="B19" s="19">
        <f t="shared" si="1"/>
        <v>46205</v>
      </c>
      <c r="C19" s="20" t="s">
        <v>40</v>
      </c>
      <c r="D19" s="31"/>
      <c r="E19" s="22"/>
      <c r="F19" s="23"/>
      <c r="G19" s="24"/>
      <c r="H19" s="25"/>
      <c r="I19" s="26">
        <v>5</v>
      </c>
      <c r="J19" s="27"/>
      <c r="K19" s="28"/>
      <c r="L19" s="15"/>
      <c r="M19" s="16"/>
      <c r="N19" s="15"/>
      <c r="O19" s="16"/>
      <c r="P19" s="17"/>
    </row>
    <row r="20" spans="1:16">
      <c r="A20" s="18" t="str">
        <f t="shared" si="0"/>
        <v>20260702-016</v>
      </c>
      <c r="B20" s="19">
        <f t="shared" si="1"/>
        <v>46205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20260702-017</v>
      </c>
      <c r="B21" s="19">
        <f t="shared" si="1"/>
        <v>46205</v>
      </c>
      <c r="C21" s="20" t="s">
        <v>42</v>
      </c>
      <c r="D21" s="31"/>
      <c r="E21" s="22">
        <v>1</v>
      </c>
      <c r="F21" s="23"/>
      <c r="G21" s="24">
        <v>1</v>
      </c>
      <c r="H21" s="25"/>
      <c r="I21" s="26"/>
      <c r="J21" s="27"/>
      <c r="K21" s="28">
        <v>1</v>
      </c>
      <c r="L21" s="15"/>
      <c r="M21" s="16"/>
      <c r="N21" s="15"/>
      <c r="O21" s="16"/>
      <c r="P21" s="17"/>
    </row>
    <row r="22" spans="1:16">
      <c r="A22" s="18" t="str">
        <f t="shared" si="0"/>
        <v>20260702-018</v>
      </c>
      <c r="B22" s="19">
        <f t="shared" si="1"/>
        <v>46205</v>
      </c>
      <c r="C22" s="20" t="s">
        <v>43</v>
      </c>
      <c r="D22" s="21"/>
      <c r="E22" s="22">
        <v>1</v>
      </c>
      <c r="F22" s="23"/>
      <c r="G22" s="24">
        <v>1</v>
      </c>
      <c r="H22" s="25">
        <v>7</v>
      </c>
      <c r="I22" s="26">
        <v>6</v>
      </c>
      <c r="J22" s="27"/>
      <c r="K22" s="28">
        <v>2</v>
      </c>
      <c r="L22" s="15"/>
      <c r="M22" s="16"/>
      <c r="N22" s="15"/>
      <c r="O22" s="16"/>
      <c r="P22" s="30"/>
    </row>
    <row r="23" spans="1:16">
      <c r="A23" s="18" t="str">
        <f t="shared" si="0"/>
        <v>20260702-019</v>
      </c>
      <c r="B23" s="19">
        <f t="shared" si="1"/>
        <v>46205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20260702-020</v>
      </c>
      <c r="B24" s="19">
        <f t="shared" si="1"/>
        <v>46205</v>
      </c>
      <c r="C24" s="20" t="s">
        <v>45</v>
      </c>
      <c r="D24" s="21">
        <v>20</v>
      </c>
      <c r="E24" s="22"/>
      <c r="F24" s="23"/>
      <c r="G24" s="24"/>
      <c r="H24" s="25"/>
      <c r="I24" s="26">
        <v>4</v>
      </c>
      <c r="J24" s="27">
        <v>1</v>
      </c>
      <c r="K24" s="28">
        <v>1</v>
      </c>
      <c r="L24" s="15"/>
      <c r="M24" s="16"/>
      <c r="N24" s="15"/>
      <c r="O24" s="16"/>
      <c r="P24" s="30"/>
    </row>
    <row r="25" spans="1:16">
      <c r="A25" s="18" t="str">
        <f t="shared" si="0"/>
        <v>20260702-021</v>
      </c>
      <c r="B25" s="19">
        <f t="shared" si="1"/>
        <v>46205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20260702-022</v>
      </c>
      <c r="B26" s="19">
        <f t="shared" si="1"/>
        <v>46205</v>
      </c>
      <c r="C26" s="20" t="s">
        <v>47</v>
      </c>
      <c r="D26" s="21"/>
      <c r="E26" s="22"/>
      <c r="F26" s="23"/>
      <c r="G26" s="24"/>
      <c r="H26" s="25"/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20260702-023</v>
      </c>
      <c r="B27" s="19">
        <f t="shared" si="1"/>
        <v>46205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20260702-024</v>
      </c>
      <c r="B28" s="19">
        <f t="shared" si="1"/>
        <v>46205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20260702-025</v>
      </c>
      <c r="B29" s="19">
        <f t="shared" si="1"/>
        <v>46205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20260702-026</v>
      </c>
      <c r="B30" s="19">
        <f t="shared" si="1"/>
        <v>46205</v>
      </c>
      <c r="C30" s="20" t="s">
        <v>51</v>
      </c>
      <c r="D30" s="21"/>
      <c r="E30" s="22"/>
      <c r="F30" s="23"/>
      <c r="G30" s="24">
        <v>2</v>
      </c>
      <c r="H30" s="25"/>
      <c r="I30" s="26"/>
      <c r="J30" s="27"/>
      <c r="K30" s="28">
        <v>1</v>
      </c>
      <c r="L30" s="15"/>
      <c r="M30" s="16"/>
      <c r="N30" s="15"/>
      <c r="O30" s="16"/>
      <c r="P30" s="30"/>
    </row>
    <row r="31" spans="1:16">
      <c r="A31" s="18" t="str">
        <f t="shared" si="0"/>
        <v>20260702-027</v>
      </c>
      <c r="B31" s="19">
        <f t="shared" si="1"/>
        <v>46205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20260702-028</v>
      </c>
      <c r="B32" s="19">
        <f t="shared" si="1"/>
        <v>46205</v>
      </c>
      <c r="C32" s="20" t="s">
        <v>53</v>
      </c>
      <c r="D32" s="21"/>
      <c r="E32" s="22">
        <v>8</v>
      </c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20260702-029</v>
      </c>
      <c r="B33" s="19">
        <f t="shared" si="1"/>
        <v>46205</v>
      </c>
      <c r="C33" s="20" t="s">
        <v>54</v>
      </c>
      <c r="D33" s="31"/>
      <c r="E33" s="22"/>
      <c r="F33" s="23"/>
      <c r="G33" s="24">
        <v>3</v>
      </c>
      <c r="H33" s="25"/>
      <c r="I33" s="26"/>
      <c r="J33" s="27"/>
      <c r="K33" s="28">
        <v>4</v>
      </c>
      <c r="L33" s="15"/>
      <c r="M33" s="16"/>
      <c r="N33" s="15"/>
      <c r="O33" s="16"/>
      <c r="P33" s="17"/>
    </row>
    <row r="34" spans="1:16">
      <c r="A34" s="18" t="str">
        <f t="shared" si="0"/>
        <v>20260702-030</v>
      </c>
      <c r="B34" s="19">
        <f t="shared" si="1"/>
        <v>46205</v>
      </c>
      <c r="C34" s="20" t="s">
        <v>55</v>
      </c>
      <c r="D34" s="21"/>
      <c r="E34" s="22">
        <v>1</v>
      </c>
      <c r="F34" s="23"/>
      <c r="G34" s="24"/>
      <c r="H34" s="25"/>
      <c r="I34" s="26"/>
      <c r="J34" s="27"/>
      <c r="K34" s="28">
        <v>1</v>
      </c>
      <c r="L34" s="15"/>
      <c r="M34" s="16"/>
      <c r="N34" s="15"/>
      <c r="O34" s="16"/>
      <c r="P34" s="30"/>
    </row>
    <row r="35" spans="1:16">
      <c r="A35" s="18" t="str">
        <f t="shared" si="0"/>
        <v>20260702-031</v>
      </c>
      <c r="B35" s="19">
        <f t="shared" si="1"/>
        <v>46205</v>
      </c>
      <c r="C35" s="20" t="s">
        <v>56</v>
      </c>
      <c r="D35" s="31">
        <v>10</v>
      </c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20260702-032</v>
      </c>
      <c r="B36" s="19">
        <f t="shared" si="1"/>
        <v>46205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20260702-033</v>
      </c>
      <c r="B37" s="19">
        <f t="shared" si="1"/>
        <v>46205</v>
      </c>
      <c r="C37" s="20" t="s">
        <v>58</v>
      </c>
      <c r="D37" s="31"/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20260702-034</v>
      </c>
      <c r="B38" s="19">
        <f t="shared" ref="B38:B69" si="3">$B$5</f>
        <v>46205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20260702-035</v>
      </c>
      <c r="B39" s="19">
        <f t="shared" si="3"/>
        <v>46205</v>
      </c>
      <c r="C39" s="20" t="s">
        <v>60</v>
      </c>
      <c r="D39" s="31"/>
      <c r="E39" s="22"/>
      <c r="F39" s="23"/>
      <c r="G39" s="24"/>
      <c r="H39" s="25"/>
      <c r="I39" s="26"/>
      <c r="J39" s="27"/>
      <c r="K39" s="28"/>
      <c r="L39" s="15"/>
      <c r="M39" s="16"/>
      <c r="N39" s="15"/>
      <c r="O39" s="16"/>
      <c r="P39" s="17"/>
    </row>
    <row r="40" spans="1:16">
      <c r="A40" s="18" t="str">
        <f t="shared" si="2"/>
        <v>20260702-036</v>
      </c>
      <c r="B40" s="19">
        <f t="shared" si="3"/>
        <v>46205</v>
      </c>
      <c r="C40" s="20" t="s">
        <v>61</v>
      </c>
      <c r="D40" s="21"/>
      <c r="E40" s="22"/>
      <c r="F40" s="23"/>
      <c r="G40" s="24"/>
      <c r="H40" s="25"/>
      <c r="I40" s="26"/>
      <c r="J40" s="27"/>
      <c r="K40" s="28"/>
      <c r="L40" s="15"/>
      <c r="M40" s="16"/>
      <c r="N40" s="15"/>
      <c r="O40" s="16"/>
      <c r="P40" s="30"/>
    </row>
    <row r="41" spans="1:16">
      <c r="A41" s="18" t="str">
        <f t="shared" si="2"/>
        <v>20260702-037</v>
      </c>
      <c r="B41" s="19">
        <f t="shared" si="3"/>
        <v>46205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20260702-038</v>
      </c>
      <c r="B42" s="19">
        <f t="shared" si="3"/>
        <v>46205</v>
      </c>
      <c r="C42" s="20" t="s">
        <v>63</v>
      </c>
      <c r="D42" s="21"/>
      <c r="E42" s="22">
        <v>2</v>
      </c>
      <c r="F42" s="23"/>
      <c r="G42" s="24"/>
      <c r="H42" s="25"/>
      <c r="I42" s="26"/>
      <c r="J42" s="27"/>
      <c r="K42" s="28">
        <v>3</v>
      </c>
      <c r="L42" s="15"/>
      <c r="M42" s="16"/>
      <c r="N42" s="15"/>
      <c r="O42" s="16"/>
      <c r="P42" s="30"/>
    </row>
    <row r="43" spans="1:16">
      <c r="A43" s="18" t="str">
        <f t="shared" si="2"/>
        <v>20260702-039</v>
      </c>
      <c r="B43" s="19">
        <f t="shared" si="3"/>
        <v>46205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20260702-040</v>
      </c>
      <c r="B44" s="19">
        <f t="shared" si="3"/>
        <v>46205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20260702-041</v>
      </c>
      <c r="B45" s="19">
        <f t="shared" si="3"/>
        <v>46205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20260702-042</v>
      </c>
      <c r="B46" s="19">
        <f t="shared" si="3"/>
        <v>46205</v>
      </c>
      <c r="C46" s="20" t="s">
        <v>67</v>
      </c>
      <c r="D46" s="21"/>
      <c r="E46" s="22"/>
      <c r="F46" s="23"/>
      <c r="G46" s="24">
        <v>1</v>
      </c>
      <c r="H46" s="25"/>
      <c r="I46" s="26"/>
      <c r="J46" s="27"/>
      <c r="K46" s="28">
        <v>1</v>
      </c>
      <c r="L46" s="15"/>
      <c r="M46" s="16"/>
      <c r="N46" s="15"/>
      <c r="O46" s="16"/>
      <c r="P46" s="30"/>
    </row>
    <row r="47" spans="1:16">
      <c r="A47" s="18" t="str">
        <f t="shared" si="2"/>
        <v>20260702-043</v>
      </c>
      <c r="B47" s="19">
        <f t="shared" si="3"/>
        <v>46205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20260702-044</v>
      </c>
      <c r="B48" s="19">
        <f t="shared" si="3"/>
        <v>46205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20260702-045</v>
      </c>
      <c r="B49" s="19">
        <f t="shared" si="3"/>
        <v>46205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20260702-046</v>
      </c>
      <c r="B50" s="19">
        <f t="shared" si="3"/>
        <v>46205</v>
      </c>
      <c r="C50" s="20" t="s">
        <v>71</v>
      </c>
      <c r="D50" s="21"/>
      <c r="E50" s="22">
        <v>1</v>
      </c>
      <c r="F50" s="23"/>
      <c r="G50" s="24"/>
      <c r="H50" s="25"/>
      <c r="I50" s="26"/>
      <c r="J50" s="27"/>
      <c r="K50" s="28">
        <v>1</v>
      </c>
      <c r="L50" s="15"/>
      <c r="M50" s="16"/>
      <c r="N50" s="15"/>
      <c r="O50" s="16"/>
      <c r="P50" s="30"/>
    </row>
    <row r="51" spans="1:16">
      <c r="A51" s="18" t="str">
        <f t="shared" si="2"/>
        <v>20260702-047</v>
      </c>
      <c r="B51" s="19">
        <f t="shared" si="3"/>
        <v>46205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20260702-048</v>
      </c>
      <c r="B52" s="19">
        <f t="shared" si="3"/>
        <v>46205</v>
      </c>
      <c r="C52" s="20" t="s">
        <v>73</v>
      </c>
      <c r="D52" s="21"/>
      <c r="E52" s="22"/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20260702-049</v>
      </c>
      <c r="B53" s="19">
        <f t="shared" si="3"/>
        <v>46205</v>
      </c>
      <c r="C53" s="20" t="s">
        <v>74</v>
      </c>
      <c r="D53" s="31"/>
      <c r="E53" s="22"/>
      <c r="F53" s="23"/>
      <c r="G53" s="24"/>
      <c r="H53" s="25"/>
      <c r="I53" s="26">
        <v>3</v>
      </c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20260702-050</v>
      </c>
      <c r="B54" s="19">
        <f t="shared" si="3"/>
        <v>46205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20260702-051</v>
      </c>
      <c r="B55" s="19">
        <f t="shared" si="3"/>
        <v>46205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20260702-052</v>
      </c>
      <c r="B56" s="19">
        <f t="shared" si="3"/>
        <v>46205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20260702-053</v>
      </c>
      <c r="B57" s="19">
        <f t="shared" si="3"/>
        <v>46205</v>
      </c>
      <c r="C57" s="20" t="s">
        <v>78</v>
      </c>
      <c r="D57" s="31"/>
      <c r="E57" s="22">
        <v>1</v>
      </c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20260702-054</v>
      </c>
      <c r="B58" s="19">
        <f t="shared" si="3"/>
        <v>46205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20260702-055</v>
      </c>
      <c r="B59" s="19">
        <f t="shared" si="3"/>
        <v>46205</v>
      </c>
      <c r="C59" s="20" t="s">
        <v>80</v>
      </c>
      <c r="D59" s="31"/>
      <c r="E59" s="22"/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20260702-056</v>
      </c>
      <c r="B60" s="19">
        <f t="shared" si="3"/>
        <v>46205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20260702-057</v>
      </c>
      <c r="B61" s="19">
        <f t="shared" si="3"/>
        <v>46205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20260702-058</v>
      </c>
      <c r="B62" s="19">
        <f t="shared" si="3"/>
        <v>46205</v>
      </c>
      <c r="C62" s="20" t="s">
        <v>83</v>
      </c>
      <c r="D62" s="31"/>
      <c r="E62" s="22"/>
      <c r="F62" s="23"/>
      <c r="G62" s="24"/>
      <c r="H62" s="25">
        <v>4</v>
      </c>
      <c r="I62" s="26">
        <v>4</v>
      </c>
      <c r="J62" s="27">
        <v>4</v>
      </c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20260702-059</v>
      </c>
      <c r="B63" s="19">
        <f t="shared" si="3"/>
        <v>46205</v>
      </c>
      <c r="C63" s="20" t="s">
        <v>84</v>
      </c>
      <c r="D63" s="21"/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20260702-060</v>
      </c>
      <c r="B64" s="19">
        <f t="shared" si="3"/>
        <v>46205</v>
      </c>
      <c r="C64" s="20" t="s">
        <v>85</v>
      </c>
      <c r="D64" s="31"/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20260702-061</v>
      </c>
      <c r="B65" s="19">
        <f t="shared" si="3"/>
        <v>46205</v>
      </c>
      <c r="C65" s="20" t="s">
        <v>86</v>
      </c>
      <c r="D65" s="21"/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20260702-062</v>
      </c>
      <c r="B66" s="19">
        <f t="shared" si="3"/>
        <v>46205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20260702-063</v>
      </c>
      <c r="B67" s="19">
        <f t="shared" si="3"/>
        <v>46205</v>
      </c>
      <c r="C67" s="20" t="s">
        <v>88</v>
      </c>
      <c r="D67" s="21"/>
      <c r="E67" s="22"/>
      <c r="F67" s="23"/>
      <c r="G67" s="24"/>
      <c r="H67" s="25"/>
      <c r="I67" s="26"/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20260702-064</v>
      </c>
      <c r="B68" s="19">
        <f t="shared" si="3"/>
        <v>46205</v>
      </c>
      <c r="C68" s="20" t="s">
        <v>89</v>
      </c>
      <c r="D68" s="31"/>
      <c r="E68" s="22"/>
      <c r="F68" s="23"/>
      <c r="G68" s="24"/>
      <c r="H68" s="25"/>
      <c r="I68" s="26"/>
      <c r="J68" s="27"/>
      <c r="K68" s="28"/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20260702-065</v>
      </c>
      <c r="B69" s="19">
        <f t="shared" si="3"/>
        <v>46205</v>
      </c>
      <c r="C69" s="20" t="s">
        <v>90</v>
      </c>
      <c r="D69" s="21"/>
      <c r="E69" s="22"/>
      <c r="F69" s="23"/>
      <c r="G69" s="24"/>
      <c r="H69" s="25"/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20260702-066</v>
      </c>
      <c r="B70" s="19">
        <f t="shared" ref="B70:B80" si="5">$B$5</f>
        <v>46205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20260702-067</v>
      </c>
      <c r="B71" s="19">
        <f t="shared" si="5"/>
        <v>46205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20260702-068</v>
      </c>
      <c r="B72" s="19">
        <f t="shared" si="5"/>
        <v>46205</v>
      </c>
      <c r="C72" s="20" t="s">
        <v>93</v>
      </c>
      <c r="D72" s="31"/>
      <c r="E72" s="22">
        <v>1</v>
      </c>
      <c r="F72" s="23"/>
      <c r="G72" s="24"/>
      <c r="H72" s="25"/>
      <c r="I72" s="26"/>
      <c r="J72" s="27"/>
      <c r="K72" s="28">
        <v>2</v>
      </c>
      <c r="L72" s="15"/>
      <c r="M72" s="16"/>
      <c r="N72" s="15"/>
      <c r="O72" s="16"/>
      <c r="P72" s="17"/>
    </row>
    <row r="73" spans="1:16">
      <c r="A73" s="18" t="str">
        <f t="shared" si="4"/>
        <v>20260702-069</v>
      </c>
      <c r="B73" s="19">
        <f t="shared" si="5"/>
        <v>46205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20260702-070</v>
      </c>
      <c r="B74" s="19">
        <f t="shared" si="5"/>
        <v>46205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1</v>
      </c>
      <c r="M74" s="16"/>
      <c r="N74" s="15"/>
      <c r="O74" s="16"/>
    </row>
    <row r="75" spans="1:16">
      <c r="A75" s="18" t="str">
        <f t="shared" si="4"/>
        <v>20260702-071</v>
      </c>
      <c r="B75" s="19">
        <f t="shared" si="5"/>
        <v>46205</v>
      </c>
      <c r="C75" s="20" t="s">
        <v>96</v>
      </c>
      <c r="D75" s="21"/>
      <c r="E75" s="22"/>
      <c r="F75" s="23"/>
      <c r="G75" s="24">
        <v>2</v>
      </c>
      <c r="H75" s="25"/>
      <c r="I75" s="26"/>
      <c r="J75" s="27"/>
      <c r="K75" s="28">
        <v>2</v>
      </c>
      <c r="L75" s="15"/>
      <c r="M75" s="16"/>
      <c r="N75" s="15"/>
      <c r="O75" s="16"/>
      <c r="P75" s="30"/>
    </row>
    <row r="76" spans="1:16">
      <c r="A76" s="18" t="str">
        <f t="shared" si="4"/>
        <v>20260702-072</v>
      </c>
      <c r="B76" s="19">
        <f t="shared" si="5"/>
        <v>46205</v>
      </c>
      <c r="C76" s="20" t="s">
        <v>97</v>
      </c>
      <c r="D76" s="31"/>
      <c r="E76" s="22"/>
      <c r="F76" s="23"/>
      <c r="G76" s="24"/>
      <c r="H76" s="25"/>
      <c r="I76" s="26"/>
      <c r="J76" s="27"/>
      <c r="K76" s="28"/>
      <c r="L76" s="15"/>
      <c r="M76" s="16"/>
      <c r="N76" s="15"/>
      <c r="O76" s="16"/>
    </row>
    <row r="77" spans="1:16">
      <c r="A77" s="18" t="str">
        <f t="shared" si="4"/>
        <v>20260702-073</v>
      </c>
      <c r="B77" s="19">
        <f t="shared" si="5"/>
        <v>46205</v>
      </c>
      <c r="C77" s="20" t="s">
        <v>98</v>
      </c>
      <c r="D77" s="21"/>
      <c r="E77" s="22"/>
      <c r="F77" s="23"/>
      <c r="G77" s="24">
        <v>2</v>
      </c>
      <c r="H77" s="25"/>
      <c r="I77" s="26"/>
      <c r="J77" s="27"/>
      <c r="K77" s="28"/>
      <c r="L77" s="34">
        <v>1</v>
      </c>
      <c r="M77" s="16"/>
      <c r="N77" s="15"/>
      <c r="O77" s="16"/>
      <c r="P77" s="30"/>
    </row>
    <row r="78" spans="1:16">
      <c r="A78" s="18" t="str">
        <f t="shared" si="4"/>
        <v>20260702-074</v>
      </c>
      <c r="B78" s="19">
        <f t="shared" si="5"/>
        <v>46205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20260702-075</v>
      </c>
      <c r="B79" s="19">
        <f t="shared" si="5"/>
        <v>46205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20260702-076</v>
      </c>
      <c r="B80" s="19">
        <f t="shared" si="5"/>
        <v>46205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0"/>
  <sheetViews>
    <sheetView topLeftCell="C54" zoomScale="85" zoomScaleNormal="85" workbookViewId="0">
      <selection activeCell="C14" sqref="C1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20260703-001</v>
      </c>
      <c r="B5" s="5">
        <v>46206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20260703-002</v>
      </c>
      <c r="B6" s="19">
        <f t="shared" ref="B6:B37" si="1">$B$5</f>
        <v>46206</v>
      </c>
      <c r="C6" s="20" t="s">
        <v>28</v>
      </c>
      <c r="D6" s="21">
        <v>30</v>
      </c>
      <c r="E6" s="22">
        <v>2</v>
      </c>
      <c r="F6" s="23"/>
      <c r="G6" s="24">
        <v>5</v>
      </c>
      <c r="H6" s="25"/>
      <c r="I6" s="26"/>
      <c r="J6" s="27"/>
      <c r="K6" s="28">
        <v>8</v>
      </c>
      <c r="L6" s="15"/>
      <c r="M6" s="29"/>
      <c r="N6" s="15"/>
      <c r="O6" s="29"/>
      <c r="P6" s="30"/>
    </row>
    <row r="7" spans="1:16">
      <c r="A7" s="18" t="str">
        <f t="shared" si="0"/>
        <v>20260703-003</v>
      </c>
      <c r="B7" s="19">
        <f t="shared" si="1"/>
        <v>46206</v>
      </c>
      <c r="C7" s="20" t="s">
        <v>29</v>
      </c>
      <c r="D7" s="31"/>
      <c r="E7" s="22"/>
      <c r="F7" s="23"/>
      <c r="G7" s="24"/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20260703-004</v>
      </c>
      <c r="B8" s="19">
        <f t="shared" si="1"/>
        <v>46206</v>
      </c>
      <c r="C8" s="20" t="s">
        <v>30</v>
      </c>
      <c r="D8" s="21"/>
      <c r="E8" s="22"/>
      <c r="F8" s="23"/>
      <c r="G8" s="24"/>
      <c r="H8" s="25"/>
      <c r="I8" s="26"/>
      <c r="J8" s="27"/>
      <c r="K8" s="28"/>
      <c r="L8" s="15"/>
      <c r="M8" s="16"/>
      <c r="N8" s="15"/>
      <c r="O8" s="16"/>
      <c r="P8" s="30"/>
    </row>
    <row r="9" spans="1:16">
      <c r="A9" s="18" t="str">
        <f t="shared" si="0"/>
        <v>20260703-005</v>
      </c>
      <c r="B9" s="19">
        <f t="shared" si="1"/>
        <v>46206</v>
      </c>
      <c r="C9" s="20" t="s">
        <v>31</v>
      </c>
      <c r="D9" s="31"/>
      <c r="E9" s="22"/>
      <c r="F9" s="23"/>
      <c r="G9" s="24">
        <v>1</v>
      </c>
      <c r="H9" s="25"/>
      <c r="I9" s="26"/>
      <c r="J9" s="27"/>
      <c r="K9" s="28"/>
      <c r="L9" s="15"/>
      <c r="M9" s="29"/>
      <c r="N9" s="15"/>
      <c r="O9" s="29"/>
      <c r="P9" s="17"/>
    </row>
    <row r="10" spans="1:16">
      <c r="A10" s="18" t="str">
        <f t="shared" si="0"/>
        <v>20260703-006</v>
      </c>
      <c r="B10" s="19">
        <f t="shared" si="1"/>
        <v>46206</v>
      </c>
      <c r="C10" s="20" t="s">
        <v>32</v>
      </c>
      <c r="D10" s="21"/>
      <c r="E10" s="22"/>
      <c r="F10" s="23"/>
      <c r="G10" s="24"/>
      <c r="H10" s="25"/>
      <c r="I10" s="26">
        <v>1</v>
      </c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20260703-007</v>
      </c>
      <c r="B11" s="19">
        <f t="shared" si="1"/>
        <v>46206</v>
      </c>
      <c r="C11" s="20" t="s">
        <v>33</v>
      </c>
      <c r="D11" s="31"/>
      <c r="E11" s="22"/>
      <c r="F11" s="23"/>
      <c r="G11" s="24"/>
      <c r="H11" s="25">
        <v>15</v>
      </c>
      <c r="I11" s="26">
        <v>10</v>
      </c>
      <c r="J11" s="27"/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20260703-008</v>
      </c>
      <c r="B12" s="19">
        <f t="shared" si="1"/>
        <v>46206</v>
      </c>
      <c r="C12" s="33" t="s">
        <v>34</v>
      </c>
      <c r="D12" s="21">
        <v>10</v>
      </c>
      <c r="E12" s="22">
        <v>8</v>
      </c>
      <c r="F12" s="23"/>
      <c r="G12" s="24">
        <v>4</v>
      </c>
      <c r="H12" s="25"/>
      <c r="I12" s="26"/>
      <c r="J12" s="27"/>
      <c r="K12" s="28">
        <v>13</v>
      </c>
      <c r="L12" s="15"/>
      <c r="M12" s="16"/>
      <c r="N12" s="15"/>
      <c r="O12" s="16"/>
      <c r="P12" s="30"/>
    </row>
    <row r="13" spans="1:16">
      <c r="A13" s="18" t="str">
        <f t="shared" si="0"/>
        <v>20260703-009</v>
      </c>
      <c r="B13" s="19">
        <f t="shared" si="1"/>
        <v>46206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20260703-010</v>
      </c>
      <c r="B14" s="19">
        <f t="shared" si="1"/>
        <v>46206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20260703-011</v>
      </c>
      <c r="B15" s="19">
        <f t="shared" si="1"/>
        <v>46206</v>
      </c>
      <c r="C15" s="33" t="s">
        <v>36</v>
      </c>
      <c r="D15" s="31"/>
      <c r="E15" s="22"/>
      <c r="F15" s="23"/>
      <c r="G15" s="24"/>
      <c r="H15" s="25">
        <v>5</v>
      </c>
      <c r="I15" s="26"/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20260703-012</v>
      </c>
      <c r="B16" s="19">
        <f t="shared" si="1"/>
        <v>46206</v>
      </c>
      <c r="C16" s="20" t="s">
        <v>37</v>
      </c>
      <c r="D16" s="21"/>
      <c r="E16" s="22"/>
      <c r="F16" s="23"/>
      <c r="G16" s="24"/>
      <c r="H16" s="25">
        <v>2</v>
      </c>
      <c r="I16" s="26">
        <v>3</v>
      </c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20260703-013</v>
      </c>
      <c r="B17" s="19">
        <f t="shared" si="1"/>
        <v>46206</v>
      </c>
      <c r="C17" s="20" t="s">
        <v>38</v>
      </c>
      <c r="D17" s="31"/>
      <c r="E17" s="22"/>
      <c r="F17" s="23"/>
      <c r="G17" s="24"/>
      <c r="H17" s="25"/>
      <c r="I17" s="26"/>
      <c r="J17" s="27"/>
      <c r="K17" s="28"/>
      <c r="L17" s="15"/>
      <c r="M17" s="16"/>
      <c r="N17" s="15"/>
      <c r="O17" s="16"/>
      <c r="P17" s="17"/>
    </row>
    <row r="18" spans="1:16">
      <c r="A18" s="18" t="str">
        <f t="shared" si="0"/>
        <v>20260703-014</v>
      </c>
      <c r="B18" s="19">
        <f t="shared" si="1"/>
        <v>46206</v>
      </c>
      <c r="C18" s="20" t="s">
        <v>39</v>
      </c>
      <c r="D18" s="21"/>
      <c r="E18" s="22"/>
      <c r="F18" s="23"/>
      <c r="G18" s="24"/>
      <c r="H18" s="25"/>
      <c r="I18" s="26"/>
      <c r="J18" s="27"/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20260703-015</v>
      </c>
      <c r="B19" s="19">
        <f t="shared" si="1"/>
        <v>46206</v>
      </c>
      <c r="C19" s="20" t="s">
        <v>40</v>
      </c>
      <c r="D19" s="31"/>
      <c r="E19" s="22">
        <v>2</v>
      </c>
      <c r="F19" s="23"/>
      <c r="G19" s="24"/>
      <c r="H19" s="25"/>
      <c r="I19" s="26">
        <v>2</v>
      </c>
      <c r="J19" s="27"/>
      <c r="K19" s="28">
        <v>7</v>
      </c>
      <c r="L19" s="15"/>
      <c r="M19" s="16"/>
      <c r="N19" s="15"/>
      <c r="O19" s="16"/>
      <c r="P19" s="17"/>
    </row>
    <row r="20" spans="1:16">
      <c r="A20" s="18" t="str">
        <f t="shared" si="0"/>
        <v>20260703-016</v>
      </c>
      <c r="B20" s="19">
        <f t="shared" si="1"/>
        <v>46206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20260703-017</v>
      </c>
      <c r="B21" s="19">
        <f t="shared" si="1"/>
        <v>46206</v>
      </c>
      <c r="C21" s="20" t="s">
        <v>42</v>
      </c>
      <c r="D21" s="31"/>
      <c r="E21" s="22">
        <v>1</v>
      </c>
      <c r="F21" s="23"/>
      <c r="G21" s="24"/>
      <c r="H21" s="25"/>
      <c r="I21" s="26"/>
      <c r="J21" s="27"/>
      <c r="K21" s="28">
        <v>1</v>
      </c>
      <c r="L21" s="15"/>
      <c r="M21" s="16"/>
      <c r="N21" s="15"/>
      <c r="O21" s="16"/>
      <c r="P21" s="17"/>
    </row>
    <row r="22" spans="1:16">
      <c r="A22" s="18" t="str">
        <f t="shared" si="0"/>
        <v>20260703-018</v>
      </c>
      <c r="B22" s="19">
        <f t="shared" si="1"/>
        <v>46206</v>
      </c>
      <c r="C22" s="20" t="s">
        <v>43</v>
      </c>
      <c r="D22" s="21"/>
      <c r="E22" s="22">
        <v>1</v>
      </c>
      <c r="F22" s="23"/>
      <c r="G22" s="24"/>
      <c r="H22" s="25">
        <v>2</v>
      </c>
      <c r="I22" s="26">
        <v>3</v>
      </c>
      <c r="J22" s="27"/>
      <c r="K22" s="28">
        <v>1</v>
      </c>
      <c r="L22" s="15"/>
      <c r="M22" s="16"/>
      <c r="N22" s="15"/>
      <c r="O22" s="16"/>
      <c r="P22" s="30"/>
    </row>
    <row r="23" spans="1:16">
      <c r="A23" s="18" t="str">
        <f t="shared" si="0"/>
        <v>20260703-019</v>
      </c>
      <c r="B23" s="19">
        <f t="shared" si="1"/>
        <v>46206</v>
      </c>
      <c r="C23" s="20" t="s">
        <v>44</v>
      </c>
      <c r="D23" s="31"/>
      <c r="E23" s="22"/>
      <c r="F23" s="23"/>
      <c r="G23" s="24"/>
      <c r="H23" s="25">
        <v>3</v>
      </c>
      <c r="I23" s="26">
        <v>4</v>
      </c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20260703-020</v>
      </c>
      <c r="B24" s="19">
        <f t="shared" si="1"/>
        <v>46206</v>
      </c>
      <c r="C24" s="20" t="s">
        <v>45</v>
      </c>
      <c r="D24" s="21"/>
      <c r="E24" s="22"/>
      <c r="F24" s="23"/>
      <c r="G24" s="24"/>
      <c r="H24" s="25">
        <v>3</v>
      </c>
      <c r="I24" s="26">
        <v>2</v>
      </c>
      <c r="J24" s="27">
        <v>1</v>
      </c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20260703-021</v>
      </c>
      <c r="B25" s="19">
        <f t="shared" si="1"/>
        <v>46206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20260703-022</v>
      </c>
      <c r="B26" s="19">
        <f t="shared" si="1"/>
        <v>46206</v>
      </c>
      <c r="C26" s="20" t="s">
        <v>47</v>
      </c>
      <c r="D26" s="21"/>
      <c r="E26" s="22"/>
      <c r="F26" s="23"/>
      <c r="G26" s="24"/>
      <c r="H26" s="25">
        <v>10</v>
      </c>
      <c r="I26" s="26">
        <v>4</v>
      </c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20260703-023</v>
      </c>
      <c r="B27" s="19">
        <f t="shared" si="1"/>
        <v>46206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20260703-024</v>
      </c>
      <c r="B28" s="19">
        <f t="shared" si="1"/>
        <v>46206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20260703-025</v>
      </c>
      <c r="B29" s="19">
        <f t="shared" si="1"/>
        <v>46206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20260703-026</v>
      </c>
      <c r="B30" s="19">
        <f t="shared" si="1"/>
        <v>46206</v>
      </c>
      <c r="C30" s="20" t="s">
        <v>51</v>
      </c>
      <c r="D30" s="21"/>
      <c r="E30" s="22">
        <v>2</v>
      </c>
      <c r="F30" s="23"/>
      <c r="G30" s="24">
        <v>1</v>
      </c>
      <c r="H30" s="25"/>
      <c r="I30" s="26"/>
      <c r="J30" s="27"/>
      <c r="K30" s="28">
        <v>2</v>
      </c>
      <c r="L30" s="15"/>
      <c r="M30" s="16"/>
      <c r="N30" s="15"/>
      <c r="O30" s="16"/>
      <c r="P30" s="30"/>
    </row>
    <row r="31" spans="1:16">
      <c r="A31" s="18" t="str">
        <f t="shared" si="0"/>
        <v>20260703-027</v>
      </c>
      <c r="B31" s="19">
        <f t="shared" si="1"/>
        <v>46206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20260703-028</v>
      </c>
      <c r="B32" s="19">
        <f t="shared" si="1"/>
        <v>46206</v>
      </c>
      <c r="C32" s="20" t="s">
        <v>53</v>
      </c>
      <c r="D32" s="21"/>
      <c r="E32" s="22">
        <v>1</v>
      </c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20260703-029</v>
      </c>
      <c r="B33" s="19">
        <f t="shared" si="1"/>
        <v>46206</v>
      </c>
      <c r="C33" s="20" t="s">
        <v>54</v>
      </c>
      <c r="D33" s="31"/>
      <c r="E33" s="22"/>
      <c r="F33" s="23"/>
      <c r="G33" s="24">
        <v>3</v>
      </c>
      <c r="H33" s="25"/>
      <c r="I33" s="26"/>
      <c r="J33" s="27"/>
      <c r="K33" s="28"/>
      <c r="L33" s="15"/>
      <c r="M33" s="16"/>
      <c r="N33" s="15"/>
      <c r="O33" s="16"/>
      <c r="P33" s="17"/>
    </row>
    <row r="34" spans="1:16">
      <c r="A34" s="18" t="str">
        <f t="shared" si="0"/>
        <v>20260703-030</v>
      </c>
      <c r="B34" s="19">
        <f t="shared" si="1"/>
        <v>46206</v>
      </c>
      <c r="C34" s="20" t="s">
        <v>55</v>
      </c>
      <c r="D34" s="21"/>
      <c r="E34" s="22"/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20260703-031</v>
      </c>
      <c r="B35" s="19">
        <f t="shared" si="1"/>
        <v>46206</v>
      </c>
      <c r="C35" s="20" t="s">
        <v>56</v>
      </c>
      <c r="D35" s="31"/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20260703-032</v>
      </c>
      <c r="B36" s="19">
        <f t="shared" si="1"/>
        <v>46206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20260703-033</v>
      </c>
      <c r="B37" s="19">
        <f t="shared" si="1"/>
        <v>46206</v>
      </c>
      <c r="C37" s="20" t="s">
        <v>58</v>
      </c>
      <c r="D37" s="31">
        <v>15</v>
      </c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20260703-034</v>
      </c>
      <c r="B38" s="19">
        <f t="shared" ref="B38:B69" si="3">$B$5</f>
        <v>46206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20260703-035</v>
      </c>
      <c r="B39" s="19">
        <f t="shared" si="3"/>
        <v>46206</v>
      </c>
      <c r="C39" s="20" t="s">
        <v>60</v>
      </c>
      <c r="D39" s="31"/>
      <c r="E39" s="22"/>
      <c r="F39" s="23"/>
      <c r="G39" s="24"/>
      <c r="H39" s="25"/>
      <c r="I39" s="26"/>
      <c r="J39" s="27"/>
      <c r="K39" s="28"/>
      <c r="L39" s="15"/>
      <c r="M39" s="16"/>
      <c r="N39" s="15"/>
      <c r="O39" s="16"/>
      <c r="P39" s="17"/>
    </row>
    <row r="40" spans="1:16">
      <c r="A40" s="18" t="str">
        <f t="shared" si="2"/>
        <v>20260703-036</v>
      </c>
      <c r="B40" s="19">
        <f t="shared" si="3"/>
        <v>46206</v>
      </c>
      <c r="C40" s="20" t="s">
        <v>61</v>
      </c>
      <c r="D40" s="21"/>
      <c r="E40" s="22"/>
      <c r="F40" s="23"/>
      <c r="G40" s="24"/>
      <c r="H40" s="25"/>
      <c r="I40" s="26"/>
      <c r="J40" s="27"/>
      <c r="K40" s="28"/>
      <c r="L40" s="15"/>
      <c r="M40" s="16"/>
      <c r="N40" s="15"/>
      <c r="O40" s="16"/>
      <c r="P40" s="30"/>
    </row>
    <row r="41" spans="1:16">
      <c r="A41" s="18" t="str">
        <f t="shared" si="2"/>
        <v>20260703-037</v>
      </c>
      <c r="B41" s="19">
        <f t="shared" si="3"/>
        <v>46206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20260703-038</v>
      </c>
      <c r="B42" s="19">
        <f t="shared" si="3"/>
        <v>46206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20260703-039</v>
      </c>
      <c r="B43" s="19">
        <f t="shared" si="3"/>
        <v>46206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20260703-040</v>
      </c>
      <c r="B44" s="19">
        <f t="shared" si="3"/>
        <v>46206</v>
      </c>
      <c r="C44" s="20" t="s">
        <v>65</v>
      </c>
      <c r="D44" s="21"/>
      <c r="E44" s="22">
        <v>1</v>
      </c>
      <c r="F44" s="23"/>
      <c r="G44" s="24"/>
      <c r="H44" s="25"/>
      <c r="I44" s="26"/>
      <c r="J44" s="27"/>
      <c r="K44" s="28">
        <v>1</v>
      </c>
      <c r="L44" s="15"/>
      <c r="M44" s="16"/>
      <c r="N44" s="15"/>
      <c r="O44" s="16"/>
      <c r="P44" s="30"/>
    </row>
    <row r="45" spans="1:16">
      <c r="A45" s="18" t="str">
        <f t="shared" si="2"/>
        <v>20260703-041</v>
      </c>
      <c r="B45" s="19">
        <f t="shared" si="3"/>
        <v>46206</v>
      </c>
      <c r="C45" s="20" t="s">
        <v>66</v>
      </c>
      <c r="D45" s="31"/>
      <c r="E45" s="22"/>
      <c r="F45" s="23"/>
      <c r="G45" s="24">
        <v>1</v>
      </c>
      <c r="H45" s="25"/>
      <c r="I45" s="26"/>
      <c r="J45" s="27"/>
      <c r="K45" s="28">
        <v>1</v>
      </c>
      <c r="L45" s="15"/>
      <c r="M45" s="16"/>
      <c r="N45" s="15"/>
      <c r="O45" s="16"/>
      <c r="P45" s="17"/>
    </row>
    <row r="46" spans="1:16">
      <c r="A46" s="18" t="str">
        <f t="shared" si="2"/>
        <v>20260703-042</v>
      </c>
      <c r="B46" s="19">
        <f t="shared" si="3"/>
        <v>46206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20260703-043</v>
      </c>
      <c r="B47" s="19">
        <f t="shared" si="3"/>
        <v>46206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20260703-044</v>
      </c>
      <c r="B48" s="19">
        <f t="shared" si="3"/>
        <v>46206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20260703-045</v>
      </c>
      <c r="B49" s="19">
        <f t="shared" si="3"/>
        <v>46206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20260703-046</v>
      </c>
      <c r="B50" s="19">
        <f t="shared" si="3"/>
        <v>46206</v>
      </c>
      <c r="C50" s="20" t="s">
        <v>71</v>
      </c>
      <c r="D50" s="21"/>
      <c r="E50" s="22">
        <v>1</v>
      </c>
      <c r="F50" s="23"/>
      <c r="G50" s="24"/>
      <c r="H50" s="25"/>
      <c r="I50" s="26"/>
      <c r="J50" s="27"/>
      <c r="K50" s="28">
        <v>1</v>
      </c>
      <c r="L50" s="15"/>
      <c r="M50" s="16"/>
      <c r="N50" s="15"/>
      <c r="O50" s="16"/>
      <c r="P50" s="30"/>
    </row>
    <row r="51" spans="1:16">
      <c r="A51" s="18" t="str">
        <f t="shared" si="2"/>
        <v>20260703-047</v>
      </c>
      <c r="B51" s="19">
        <f t="shared" si="3"/>
        <v>46206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20260703-048</v>
      </c>
      <c r="B52" s="19">
        <f t="shared" si="3"/>
        <v>46206</v>
      </c>
      <c r="C52" s="20" t="s">
        <v>73</v>
      </c>
      <c r="D52" s="21"/>
      <c r="E52" s="22">
        <v>1</v>
      </c>
      <c r="F52" s="23"/>
      <c r="G52" s="24"/>
      <c r="H52" s="25"/>
      <c r="I52" s="26"/>
      <c r="J52" s="27"/>
      <c r="K52" s="28">
        <v>1</v>
      </c>
      <c r="L52" s="15"/>
      <c r="M52" s="16"/>
      <c r="N52" s="15"/>
      <c r="O52" s="16"/>
      <c r="P52" s="30"/>
    </row>
    <row r="53" spans="1:16">
      <c r="A53" s="18" t="str">
        <f t="shared" si="2"/>
        <v>20260703-049</v>
      </c>
      <c r="B53" s="19">
        <f t="shared" si="3"/>
        <v>46206</v>
      </c>
      <c r="C53" s="20" t="s">
        <v>74</v>
      </c>
      <c r="D53" s="31"/>
      <c r="E53" s="22"/>
      <c r="F53" s="23"/>
      <c r="G53" s="24"/>
      <c r="H53" s="25"/>
      <c r="I53" s="26"/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20260703-050</v>
      </c>
      <c r="B54" s="19">
        <f t="shared" si="3"/>
        <v>46206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20260703-051</v>
      </c>
      <c r="B55" s="19">
        <f t="shared" si="3"/>
        <v>46206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20260703-052</v>
      </c>
      <c r="B56" s="19">
        <f t="shared" si="3"/>
        <v>46206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20260703-053</v>
      </c>
      <c r="B57" s="19">
        <f t="shared" si="3"/>
        <v>46206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20260703-054</v>
      </c>
      <c r="B58" s="19">
        <f t="shared" si="3"/>
        <v>46206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20260703-055</v>
      </c>
      <c r="B59" s="19">
        <f t="shared" si="3"/>
        <v>46206</v>
      </c>
      <c r="C59" s="20" t="s">
        <v>80</v>
      </c>
      <c r="D59" s="31"/>
      <c r="E59" s="22"/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20260703-056</v>
      </c>
      <c r="B60" s="19">
        <f t="shared" si="3"/>
        <v>46206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20260703-057</v>
      </c>
      <c r="B61" s="19">
        <f t="shared" si="3"/>
        <v>46206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20260703-058</v>
      </c>
      <c r="B62" s="19">
        <f t="shared" si="3"/>
        <v>46206</v>
      </c>
      <c r="C62" s="20" t="s">
        <v>83</v>
      </c>
      <c r="D62" s="31"/>
      <c r="E62" s="22"/>
      <c r="F62" s="23"/>
      <c r="G62" s="24"/>
      <c r="H62" s="25">
        <v>3</v>
      </c>
      <c r="I62" s="26">
        <v>5</v>
      </c>
      <c r="J62" s="27">
        <v>4</v>
      </c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20260703-059</v>
      </c>
      <c r="B63" s="19">
        <f t="shared" si="3"/>
        <v>46206</v>
      </c>
      <c r="C63" s="20" t="s">
        <v>84</v>
      </c>
      <c r="D63" s="21">
        <v>25</v>
      </c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20260703-060</v>
      </c>
      <c r="B64" s="19">
        <f t="shared" si="3"/>
        <v>46206</v>
      </c>
      <c r="C64" s="20" t="s">
        <v>85</v>
      </c>
      <c r="D64" s="31"/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20260703-061</v>
      </c>
      <c r="B65" s="19">
        <f t="shared" si="3"/>
        <v>46206</v>
      </c>
      <c r="C65" s="20" t="s">
        <v>86</v>
      </c>
      <c r="D65" s="21"/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20260703-062</v>
      </c>
      <c r="B66" s="19">
        <f t="shared" si="3"/>
        <v>46206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20260703-063</v>
      </c>
      <c r="B67" s="19">
        <f t="shared" si="3"/>
        <v>46206</v>
      </c>
      <c r="C67" s="20" t="s">
        <v>88</v>
      </c>
      <c r="D67" s="21"/>
      <c r="E67" s="22"/>
      <c r="F67" s="23"/>
      <c r="G67" s="24"/>
      <c r="H67" s="25">
        <v>3</v>
      </c>
      <c r="I67" s="26">
        <v>5</v>
      </c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20260703-064</v>
      </c>
      <c r="B68" s="19">
        <f t="shared" si="3"/>
        <v>46206</v>
      </c>
      <c r="C68" s="20" t="s">
        <v>89</v>
      </c>
      <c r="D68" s="31"/>
      <c r="E68" s="22">
        <v>3</v>
      </c>
      <c r="F68" s="23"/>
      <c r="G68" s="24"/>
      <c r="H68" s="25"/>
      <c r="I68" s="26"/>
      <c r="J68" s="27"/>
      <c r="K68" s="28">
        <v>2</v>
      </c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20260703-065</v>
      </c>
      <c r="B69" s="19">
        <f t="shared" si="3"/>
        <v>46206</v>
      </c>
      <c r="C69" s="20" t="s">
        <v>90</v>
      </c>
      <c r="D69" s="21"/>
      <c r="E69" s="22"/>
      <c r="F69" s="23"/>
      <c r="G69" s="24"/>
      <c r="H69" s="25">
        <v>2</v>
      </c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20260703-066</v>
      </c>
      <c r="B70" s="19">
        <f t="shared" ref="B70:B80" si="5">$B$5</f>
        <v>46206</v>
      </c>
      <c r="C70" s="20" t="s">
        <v>91</v>
      </c>
      <c r="D70" s="31">
        <v>45</v>
      </c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20260703-067</v>
      </c>
      <c r="B71" s="19">
        <f t="shared" si="5"/>
        <v>46206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20260703-068</v>
      </c>
      <c r="B72" s="19">
        <f t="shared" si="5"/>
        <v>46206</v>
      </c>
      <c r="C72" s="20" t="s">
        <v>93</v>
      </c>
      <c r="D72" s="31"/>
      <c r="E72" s="22">
        <v>1</v>
      </c>
      <c r="F72" s="23"/>
      <c r="G72" s="24"/>
      <c r="H72" s="25"/>
      <c r="I72" s="26"/>
      <c r="J72" s="27"/>
      <c r="K72" s="28"/>
      <c r="L72" s="15"/>
      <c r="M72" s="16"/>
      <c r="N72" s="15"/>
      <c r="O72" s="16"/>
      <c r="P72" s="17"/>
    </row>
    <row r="73" spans="1:16">
      <c r="A73" s="18" t="str">
        <f t="shared" si="4"/>
        <v>20260703-069</v>
      </c>
      <c r="B73" s="19">
        <f t="shared" si="5"/>
        <v>46206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20260703-070</v>
      </c>
      <c r="B74" s="19">
        <f t="shared" si="5"/>
        <v>46206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1</v>
      </c>
      <c r="M74" s="16"/>
      <c r="N74" s="15"/>
      <c r="O74" s="16"/>
    </row>
    <row r="75" spans="1:16">
      <c r="A75" s="18" t="str">
        <f t="shared" si="4"/>
        <v>20260703-071</v>
      </c>
      <c r="B75" s="19">
        <f t="shared" si="5"/>
        <v>46206</v>
      </c>
      <c r="C75" s="20" t="s">
        <v>96</v>
      </c>
      <c r="D75" s="21"/>
      <c r="E75" s="22"/>
      <c r="F75" s="23"/>
      <c r="G75" s="24"/>
      <c r="H75" s="25"/>
      <c r="I75" s="26"/>
      <c r="J75" s="27"/>
      <c r="K75" s="28"/>
      <c r="L75" s="15"/>
      <c r="M75" s="16"/>
      <c r="N75" s="15"/>
      <c r="O75" s="16"/>
      <c r="P75" s="30"/>
    </row>
    <row r="76" spans="1:16">
      <c r="A76" s="18" t="str">
        <f t="shared" si="4"/>
        <v>20260703-072</v>
      </c>
      <c r="B76" s="19">
        <f t="shared" si="5"/>
        <v>46206</v>
      </c>
      <c r="C76" s="20" t="s">
        <v>97</v>
      </c>
      <c r="D76" s="31"/>
      <c r="E76" s="22"/>
      <c r="F76" s="23"/>
      <c r="G76" s="24">
        <v>1</v>
      </c>
      <c r="H76" s="25"/>
      <c r="I76" s="26"/>
      <c r="J76" s="27"/>
      <c r="K76" s="28">
        <v>1</v>
      </c>
      <c r="L76" s="15"/>
      <c r="M76" s="16"/>
      <c r="N76" s="15"/>
      <c r="O76" s="16"/>
    </row>
    <row r="77" spans="1:16">
      <c r="A77" s="18" t="str">
        <f t="shared" si="4"/>
        <v>20260703-073</v>
      </c>
      <c r="B77" s="19">
        <f t="shared" si="5"/>
        <v>46206</v>
      </c>
      <c r="C77" s="20" t="s">
        <v>98</v>
      </c>
      <c r="D77" s="21"/>
      <c r="E77" s="22"/>
      <c r="F77" s="23"/>
      <c r="G77" s="24">
        <v>1</v>
      </c>
      <c r="H77" s="25"/>
      <c r="I77" s="26"/>
      <c r="J77" s="27"/>
      <c r="K77" s="28"/>
      <c r="L77" s="34">
        <v>1</v>
      </c>
      <c r="M77" s="16"/>
      <c r="N77" s="15"/>
      <c r="O77" s="16"/>
      <c r="P77" s="30"/>
    </row>
    <row r="78" spans="1:16">
      <c r="A78" s="18" t="str">
        <f t="shared" si="4"/>
        <v>20260703-074</v>
      </c>
      <c r="B78" s="19">
        <f t="shared" si="5"/>
        <v>46206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20260703-075</v>
      </c>
      <c r="B79" s="19">
        <f t="shared" si="5"/>
        <v>46206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20260703-076</v>
      </c>
      <c r="B80" s="19">
        <f t="shared" si="5"/>
        <v>46206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0"/>
  <sheetViews>
    <sheetView topLeftCell="C62" zoomScale="85" zoomScaleNormal="85" workbookViewId="0">
      <selection activeCell="C14" sqref="C1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20260704-001</v>
      </c>
      <c r="B5" s="5">
        <v>46207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20260704-002</v>
      </c>
      <c r="B6" s="19">
        <f t="shared" ref="B6:B37" si="1">$B$5</f>
        <v>46207</v>
      </c>
      <c r="C6" s="20" t="s">
        <v>28</v>
      </c>
      <c r="D6" s="21">
        <v>15</v>
      </c>
      <c r="E6" s="22">
        <v>6</v>
      </c>
      <c r="F6" s="23"/>
      <c r="G6" s="24">
        <v>8</v>
      </c>
      <c r="H6" s="25"/>
      <c r="I6" s="26"/>
      <c r="J6" s="27"/>
      <c r="K6" s="28">
        <v>18</v>
      </c>
      <c r="L6" s="15"/>
      <c r="M6" s="29"/>
      <c r="N6" s="15"/>
      <c r="O6" s="29"/>
      <c r="P6" s="30"/>
    </row>
    <row r="7" spans="1:16">
      <c r="A7" s="18" t="str">
        <f t="shared" si="0"/>
        <v>20260704-003</v>
      </c>
      <c r="B7" s="19">
        <f t="shared" si="1"/>
        <v>46207</v>
      </c>
      <c r="C7" s="20" t="s">
        <v>29</v>
      </c>
      <c r="D7" s="31"/>
      <c r="E7" s="22">
        <v>1</v>
      </c>
      <c r="F7" s="23"/>
      <c r="G7" s="24">
        <v>1</v>
      </c>
      <c r="H7" s="25"/>
      <c r="I7" s="26"/>
      <c r="J7" s="27"/>
      <c r="K7" s="28">
        <v>2</v>
      </c>
      <c r="L7" s="15"/>
      <c r="M7" s="29"/>
      <c r="N7" s="15"/>
      <c r="O7" s="29"/>
      <c r="P7" s="32"/>
    </row>
    <row r="8" spans="1:16">
      <c r="A8" s="18" t="str">
        <f t="shared" si="0"/>
        <v>20260704-004</v>
      </c>
      <c r="B8" s="19">
        <f t="shared" si="1"/>
        <v>46207</v>
      </c>
      <c r="C8" s="20" t="s">
        <v>30</v>
      </c>
      <c r="D8" s="21"/>
      <c r="E8" s="22"/>
      <c r="F8" s="23"/>
      <c r="G8" s="24"/>
      <c r="H8" s="25"/>
      <c r="I8" s="26"/>
      <c r="J8" s="27"/>
      <c r="K8" s="28"/>
      <c r="L8" s="15"/>
      <c r="M8" s="16"/>
      <c r="N8" s="15"/>
      <c r="O8" s="16"/>
      <c r="P8" s="30"/>
    </row>
    <row r="9" spans="1:16">
      <c r="A9" s="18" t="str">
        <f t="shared" si="0"/>
        <v>20260704-005</v>
      </c>
      <c r="B9" s="19">
        <f t="shared" si="1"/>
        <v>46207</v>
      </c>
      <c r="C9" s="20" t="s">
        <v>31</v>
      </c>
      <c r="D9" s="31"/>
      <c r="E9" s="22"/>
      <c r="F9" s="23"/>
      <c r="G9" s="24">
        <v>1</v>
      </c>
      <c r="H9" s="25"/>
      <c r="I9" s="26"/>
      <c r="J9" s="27"/>
      <c r="K9" s="28">
        <v>1</v>
      </c>
      <c r="L9" s="15"/>
      <c r="M9" s="29"/>
      <c r="N9" s="15"/>
      <c r="O9" s="29"/>
      <c r="P9" s="17"/>
    </row>
    <row r="10" spans="1:16">
      <c r="A10" s="18" t="str">
        <f t="shared" si="0"/>
        <v>20260704-006</v>
      </c>
      <c r="B10" s="19">
        <f t="shared" si="1"/>
        <v>46207</v>
      </c>
      <c r="C10" s="20" t="s">
        <v>32</v>
      </c>
      <c r="D10" s="21"/>
      <c r="E10" s="22"/>
      <c r="F10" s="23"/>
      <c r="G10" s="24"/>
      <c r="H10" s="25"/>
      <c r="I10" s="26"/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20260704-007</v>
      </c>
      <c r="B11" s="19">
        <f t="shared" si="1"/>
        <v>46207</v>
      </c>
      <c r="C11" s="20" t="s">
        <v>33</v>
      </c>
      <c r="D11" s="31"/>
      <c r="E11" s="22"/>
      <c r="F11" s="23"/>
      <c r="G11" s="24"/>
      <c r="H11" s="25">
        <v>40</v>
      </c>
      <c r="I11" s="26">
        <v>40</v>
      </c>
      <c r="J11" s="27">
        <v>15</v>
      </c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20260704-008</v>
      </c>
      <c r="B12" s="19">
        <f t="shared" si="1"/>
        <v>46207</v>
      </c>
      <c r="C12" s="33" t="s">
        <v>34</v>
      </c>
      <c r="D12" s="21">
        <v>20</v>
      </c>
      <c r="E12" s="22">
        <v>10</v>
      </c>
      <c r="F12" s="23"/>
      <c r="G12" s="24">
        <v>9</v>
      </c>
      <c r="H12" s="25"/>
      <c r="I12" s="26"/>
      <c r="J12" s="27"/>
      <c r="K12" s="28">
        <v>12</v>
      </c>
      <c r="L12" s="15"/>
      <c r="M12" s="16"/>
      <c r="N12" s="15"/>
      <c r="O12" s="16"/>
      <c r="P12" s="30"/>
    </row>
    <row r="13" spans="1:16">
      <c r="A13" s="18" t="str">
        <f t="shared" si="0"/>
        <v>20260704-009</v>
      </c>
      <c r="B13" s="19">
        <f t="shared" si="1"/>
        <v>46207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20260704-010</v>
      </c>
      <c r="B14" s="19">
        <f t="shared" si="1"/>
        <v>46207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20260704-011</v>
      </c>
      <c r="B15" s="19">
        <f t="shared" si="1"/>
        <v>46207</v>
      </c>
      <c r="C15" s="33" t="s">
        <v>36</v>
      </c>
      <c r="D15" s="31"/>
      <c r="E15" s="22"/>
      <c r="F15" s="23"/>
      <c r="G15" s="24"/>
      <c r="H15" s="25">
        <v>5</v>
      </c>
      <c r="I15" s="26">
        <v>21</v>
      </c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20260704-012</v>
      </c>
      <c r="B16" s="19">
        <f t="shared" si="1"/>
        <v>46207</v>
      </c>
      <c r="C16" s="20" t="s">
        <v>37</v>
      </c>
      <c r="D16" s="21"/>
      <c r="E16" s="22"/>
      <c r="F16" s="23"/>
      <c r="G16" s="24"/>
      <c r="H16" s="25">
        <v>7</v>
      </c>
      <c r="I16" s="26">
        <v>6</v>
      </c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20260704-013</v>
      </c>
      <c r="B17" s="19">
        <f t="shared" si="1"/>
        <v>46207</v>
      </c>
      <c r="C17" s="20" t="s">
        <v>38</v>
      </c>
      <c r="D17" s="31"/>
      <c r="E17" s="22">
        <v>2</v>
      </c>
      <c r="F17" s="23"/>
      <c r="G17" s="24">
        <v>1</v>
      </c>
      <c r="H17" s="25">
        <v>1</v>
      </c>
      <c r="I17" s="26"/>
      <c r="J17" s="27">
        <v>2</v>
      </c>
      <c r="K17" s="28">
        <v>20</v>
      </c>
      <c r="L17" s="15"/>
      <c r="M17" s="16"/>
      <c r="N17" s="15"/>
      <c r="O17" s="16"/>
      <c r="P17" s="17"/>
    </row>
    <row r="18" spans="1:16">
      <c r="A18" s="18" t="str">
        <f t="shared" si="0"/>
        <v>20260704-014</v>
      </c>
      <c r="B18" s="19">
        <f t="shared" si="1"/>
        <v>46207</v>
      </c>
      <c r="C18" s="20" t="s">
        <v>39</v>
      </c>
      <c r="D18" s="21"/>
      <c r="E18" s="22"/>
      <c r="F18" s="23"/>
      <c r="G18" s="24"/>
      <c r="H18" s="25"/>
      <c r="I18" s="26">
        <v>2</v>
      </c>
      <c r="J18" s="27"/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20260704-015</v>
      </c>
      <c r="B19" s="19">
        <f t="shared" si="1"/>
        <v>46207</v>
      </c>
      <c r="C19" s="20" t="s">
        <v>40</v>
      </c>
      <c r="D19" s="31"/>
      <c r="E19" s="22"/>
      <c r="F19" s="23"/>
      <c r="G19" s="24"/>
      <c r="H19" s="25"/>
      <c r="I19" s="26"/>
      <c r="J19" s="27"/>
      <c r="K19" s="28"/>
      <c r="L19" s="15"/>
      <c r="M19" s="16"/>
      <c r="N19" s="15"/>
      <c r="O19" s="16"/>
      <c r="P19" s="17"/>
    </row>
    <row r="20" spans="1:16">
      <c r="A20" s="18" t="str">
        <f t="shared" si="0"/>
        <v>20260704-016</v>
      </c>
      <c r="B20" s="19">
        <f t="shared" si="1"/>
        <v>46207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20260704-017</v>
      </c>
      <c r="B21" s="19">
        <f t="shared" si="1"/>
        <v>46207</v>
      </c>
      <c r="C21" s="20" t="s">
        <v>42</v>
      </c>
      <c r="D21" s="31"/>
      <c r="E21" s="22">
        <v>1</v>
      </c>
      <c r="F21" s="23"/>
      <c r="G21" s="24">
        <v>1</v>
      </c>
      <c r="H21" s="25"/>
      <c r="I21" s="26"/>
      <c r="J21" s="27"/>
      <c r="K21" s="28">
        <v>1</v>
      </c>
      <c r="L21" s="15"/>
      <c r="M21" s="16"/>
      <c r="N21" s="15"/>
      <c r="O21" s="16"/>
      <c r="P21" s="17"/>
    </row>
    <row r="22" spans="1:16">
      <c r="A22" s="18" t="str">
        <f t="shared" si="0"/>
        <v>20260704-018</v>
      </c>
      <c r="B22" s="19">
        <f t="shared" si="1"/>
        <v>46207</v>
      </c>
      <c r="C22" s="20" t="s">
        <v>43</v>
      </c>
      <c r="D22" s="21"/>
      <c r="E22" s="22">
        <v>2</v>
      </c>
      <c r="F22" s="23"/>
      <c r="G22" s="24">
        <v>1</v>
      </c>
      <c r="H22" s="25">
        <v>7</v>
      </c>
      <c r="I22" s="26">
        <v>7</v>
      </c>
      <c r="J22" s="27"/>
      <c r="K22" s="28">
        <v>2</v>
      </c>
      <c r="L22" s="15"/>
      <c r="M22" s="16"/>
      <c r="N22" s="15"/>
      <c r="O22" s="16"/>
      <c r="P22" s="30"/>
    </row>
    <row r="23" spans="1:16">
      <c r="A23" s="18" t="str">
        <f t="shared" si="0"/>
        <v>20260704-019</v>
      </c>
      <c r="B23" s="19">
        <f t="shared" si="1"/>
        <v>46207</v>
      </c>
      <c r="C23" s="20" t="s">
        <v>44</v>
      </c>
      <c r="D23" s="31"/>
      <c r="E23" s="22"/>
      <c r="F23" s="23"/>
      <c r="G23" s="24"/>
      <c r="H23" s="25"/>
      <c r="I23" s="26">
        <v>3</v>
      </c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20260704-020</v>
      </c>
      <c r="B24" s="19">
        <f t="shared" si="1"/>
        <v>46207</v>
      </c>
      <c r="C24" s="20" t="s">
        <v>45</v>
      </c>
      <c r="D24" s="21">
        <v>25</v>
      </c>
      <c r="E24" s="22"/>
      <c r="F24" s="23"/>
      <c r="G24" s="24"/>
      <c r="H24" s="25">
        <v>3</v>
      </c>
      <c r="I24" s="26">
        <v>2</v>
      </c>
      <c r="J24" s="27">
        <v>2</v>
      </c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20260704-021</v>
      </c>
      <c r="B25" s="19">
        <f t="shared" si="1"/>
        <v>46207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20260704-022</v>
      </c>
      <c r="B26" s="19">
        <f t="shared" si="1"/>
        <v>46207</v>
      </c>
      <c r="C26" s="20" t="s">
        <v>47</v>
      </c>
      <c r="D26" s="21"/>
      <c r="E26" s="22"/>
      <c r="F26" s="23"/>
      <c r="G26" s="24"/>
      <c r="H26" s="25"/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20260704-023</v>
      </c>
      <c r="B27" s="19">
        <f t="shared" si="1"/>
        <v>46207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20260704-024</v>
      </c>
      <c r="B28" s="19">
        <f t="shared" si="1"/>
        <v>46207</v>
      </c>
      <c r="C28" s="20" t="s">
        <v>49</v>
      </c>
      <c r="D28" s="21"/>
      <c r="E28" s="22">
        <v>1</v>
      </c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20260704-025</v>
      </c>
      <c r="B29" s="19">
        <f t="shared" si="1"/>
        <v>46207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20260704-026</v>
      </c>
      <c r="B30" s="19">
        <f t="shared" si="1"/>
        <v>46207</v>
      </c>
      <c r="C30" s="20" t="s">
        <v>51</v>
      </c>
      <c r="D30" s="21"/>
      <c r="E30" s="22"/>
      <c r="F30" s="23"/>
      <c r="G30" s="24"/>
      <c r="H30" s="25"/>
      <c r="I30" s="26"/>
      <c r="J30" s="27"/>
      <c r="K30" s="28"/>
      <c r="L30" s="15"/>
      <c r="M30" s="16"/>
      <c r="N30" s="15"/>
      <c r="O30" s="16"/>
      <c r="P30" s="30"/>
    </row>
    <row r="31" spans="1:16">
      <c r="A31" s="18" t="str">
        <f t="shared" si="0"/>
        <v>20260704-027</v>
      </c>
      <c r="B31" s="19">
        <f t="shared" si="1"/>
        <v>46207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20260704-028</v>
      </c>
      <c r="B32" s="19">
        <f t="shared" si="1"/>
        <v>46207</v>
      </c>
      <c r="C32" s="20" t="s">
        <v>53</v>
      </c>
      <c r="D32" s="21"/>
      <c r="E32" s="22"/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20260704-029</v>
      </c>
      <c r="B33" s="19">
        <f t="shared" si="1"/>
        <v>46207</v>
      </c>
      <c r="C33" s="20" t="s">
        <v>54</v>
      </c>
      <c r="D33" s="31"/>
      <c r="E33" s="22"/>
      <c r="F33" s="23"/>
      <c r="G33" s="24">
        <v>8</v>
      </c>
      <c r="H33" s="25"/>
      <c r="I33" s="26"/>
      <c r="J33" s="27"/>
      <c r="K33" s="28">
        <v>3</v>
      </c>
      <c r="L33" s="15"/>
      <c r="M33" s="16"/>
      <c r="N33" s="15"/>
      <c r="O33" s="16"/>
      <c r="P33" s="17"/>
    </row>
    <row r="34" spans="1:16">
      <c r="A34" s="18" t="str">
        <f t="shared" si="0"/>
        <v>20260704-030</v>
      </c>
      <c r="B34" s="19">
        <f t="shared" si="1"/>
        <v>46207</v>
      </c>
      <c r="C34" s="20" t="s">
        <v>55</v>
      </c>
      <c r="D34" s="21"/>
      <c r="E34" s="22"/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20260704-031</v>
      </c>
      <c r="B35" s="19">
        <f t="shared" si="1"/>
        <v>46207</v>
      </c>
      <c r="C35" s="20" t="s">
        <v>56</v>
      </c>
      <c r="D35" s="31">
        <v>15</v>
      </c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20260704-032</v>
      </c>
      <c r="B36" s="19">
        <f t="shared" si="1"/>
        <v>46207</v>
      </c>
      <c r="C36" s="20" t="s">
        <v>57</v>
      </c>
      <c r="D36" s="21">
        <v>5</v>
      </c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20260704-033</v>
      </c>
      <c r="B37" s="19">
        <f t="shared" si="1"/>
        <v>46207</v>
      </c>
      <c r="C37" s="20" t="s">
        <v>58</v>
      </c>
      <c r="D37" s="31"/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20260704-034</v>
      </c>
      <c r="B38" s="19">
        <f t="shared" ref="B38:B69" si="3">$B$5</f>
        <v>46207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20260704-035</v>
      </c>
      <c r="B39" s="19">
        <f t="shared" si="3"/>
        <v>46207</v>
      </c>
      <c r="C39" s="20" t="s">
        <v>60</v>
      </c>
      <c r="D39" s="31"/>
      <c r="E39" s="22"/>
      <c r="F39" s="23"/>
      <c r="G39" s="24">
        <v>1</v>
      </c>
      <c r="H39" s="25"/>
      <c r="I39" s="26"/>
      <c r="J39" s="27"/>
      <c r="K39" s="28">
        <v>1</v>
      </c>
      <c r="L39" s="15"/>
      <c r="M39" s="16"/>
      <c r="N39" s="15"/>
      <c r="O39" s="16"/>
      <c r="P39" s="17"/>
    </row>
    <row r="40" spans="1:16">
      <c r="A40" s="18" t="str">
        <f t="shared" si="2"/>
        <v>20260704-036</v>
      </c>
      <c r="B40" s="19">
        <f t="shared" si="3"/>
        <v>46207</v>
      </c>
      <c r="C40" s="20" t="s">
        <v>61</v>
      </c>
      <c r="D40" s="21"/>
      <c r="E40" s="22"/>
      <c r="F40" s="23">
        <v>3</v>
      </c>
      <c r="G40" s="24"/>
      <c r="H40" s="25"/>
      <c r="I40" s="26"/>
      <c r="J40" s="27"/>
      <c r="K40" s="28">
        <v>3</v>
      </c>
      <c r="L40" s="15"/>
      <c r="M40" s="16"/>
      <c r="N40" s="15"/>
      <c r="O40" s="16"/>
      <c r="P40" s="30"/>
    </row>
    <row r="41" spans="1:16">
      <c r="A41" s="18" t="str">
        <f t="shared" si="2"/>
        <v>20260704-037</v>
      </c>
      <c r="B41" s="19">
        <f t="shared" si="3"/>
        <v>46207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20260704-038</v>
      </c>
      <c r="B42" s="19">
        <f t="shared" si="3"/>
        <v>46207</v>
      </c>
      <c r="C42" s="20" t="s">
        <v>63</v>
      </c>
      <c r="D42" s="21"/>
      <c r="E42" s="22">
        <v>2</v>
      </c>
      <c r="F42" s="23"/>
      <c r="G42" s="24"/>
      <c r="H42" s="25"/>
      <c r="I42" s="26"/>
      <c r="J42" s="27"/>
      <c r="K42" s="28">
        <v>2</v>
      </c>
      <c r="L42" s="15"/>
      <c r="M42" s="16"/>
      <c r="N42" s="15"/>
      <c r="O42" s="16"/>
      <c r="P42" s="30"/>
    </row>
    <row r="43" spans="1:16">
      <c r="A43" s="18" t="str">
        <f t="shared" si="2"/>
        <v>20260704-039</v>
      </c>
      <c r="B43" s="19">
        <f t="shared" si="3"/>
        <v>46207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20260704-040</v>
      </c>
      <c r="B44" s="19">
        <f t="shared" si="3"/>
        <v>46207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20260704-041</v>
      </c>
      <c r="B45" s="19">
        <f t="shared" si="3"/>
        <v>46207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20260704-042</v>
      </c>
      <c r="B46" s="19">
        <f t="shared" si="3"/>
        <v>46207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20260704-043</v>
      </c>
      <c r="B47" s="19">
        <f t="shared" si="3"/>
        <v>46207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20260704-044</v>
      </c>
      <c r="B48" s="19">
        <f t="shared" si="3"/>
        <v>46207</v>
      </c>
      <c r="C48" s="20" t="s">
        <v>69</v>
      </c>
      <c r="D48" s="21"/>
      <c r="E48" s="22"/>
      <c r="F48" s="23"/>
      <c r="G48" s="24">
        <v>1</v>
      </c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20260704-045</v>
      </c>
      <c r="B49" s="19">
        <f t="shared" si="3"/>
        <v>46207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20260704-046</v>
      </c>
      <c r="B50" s="19">
        <f t="shared" si="3"/>
        <v>46207</v>
      </c>
      <c r="C50" s="20" t="s">
        <v>71</v>
      </c>
      <c r="D50" s="21"/>
      <c r="E50" s="22">
        <v>1</v>
      </c>
      <c r="F50" s="23"/>
      <c r="G50" s="24"/>
      <c r="H50" s="25"/>
      <c r="I50" s="26"/>
      <c r="J50" s="27"/>
      <c r="K50" s="28">
        <v>1</v>
      </c>
      <c r="L50" s="15"/>
      <c r="M50" s="16"/>
      <c r="N50" s="15"/>
      <c r="O50" s="16"/>
      <c r="P50" s="30"/>
    </row>
    <row r="51" spans="1:16">
      <c r="A51" s="18" t="str">
        <f t="shared" si="2"/>
        <v>20260704-047</v>
      </c>
      <c r="B51" s="19">
        <f t="shared" si="3"/>
        <v>46207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20260704-048</v>
      </c>
      <c r="B52" s="19">
        <f t="shared" si="3"/>
        <v>46207</v>
      </c>
      <c r="C52" s="20" t="s">
        <v>73</v>
      </c>
      <c r="D52" s="21"/>
      <c r="E52" s="22"/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20260704-049</v>
      </c>
      <c r="B53" s="19">
        <f t="shared" si="3"/>
        <v>46207</v>
      </c>
      <c r="C53" s="20" t="s">
        <v>74</v>
      </c>
      <c r="D53" s="31"/>
      <c r="E53" s="22"/>
      <c r="F53" s="23"/>
      <c r="G53" s="24"/>
      <c r="H53" s="25">
        <v>2</v>
      </c>
      <c r="I53" s="26">
        <v>1</v>
      </c>
      <c r="J53" s="27">
        <v>1</v>
      </c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20260704-050</v>
      </c>
      <c r="B54" s="19">
        <f t="shared" si="3"/>
        <v>46207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20260704-051</v>
      </c>
      <c r="B55" s="19">
        <f t="shared" si="3"/>
        <v>46207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20260704-052</v>
      </c>
      <c r="B56" s="19">
        <f t="shared" si="3"/>
        <v>46207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20260704-053</v>
      </c>
      <c r="B57" s="19">
        <f t="shared" si="3"/>
        <v>46207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20260704-054</v>
      </c>
      <c r="B58" s="19">
        <f t="shared" si="3"/>
        <v>46207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20260704-055</v>
      </c>
      <c r="B59" s="19">
        <f t="shared" si="3"/>
        <v>46207</v>
      </c>
      <c r="C59" s="20" t="s">
        <v>80</v>
      </c>
      <c r="D59" s="31"/>
      <c r="E59" s="22">
        <v>1</v>
      </c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20260704-056</v>
      </c>
      <c r="B60" s="19">
        <f t="shared" si="3"/>
        <v>46207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20260704-057</v>
      </c>
      <c r="B61" s="19">
        <f t="shared" si="3"/>
        <v>46207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20260704-058</v>
      </c>
      <c r="B62" s="19">
        <f t="shared" si="3"/>
        <v>46207</v>
      </c>
      <c r="C62" s="20" t="s">
        <v>83</v>
      </c>
      <c r="D62" s="31"/>
      <c r="E62" s="22"/>
      <c r="F62" s="23"/>
      <c r="G62" s="24"/>
      <c r="H62" s="25"/>
      <c r="I62" s="26"/>
      <c r="J62" s="27"/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20260704-059</v>
      </c>
      <c r="B63" s="19">
        <f t="shared" si="3"/>
        <v>46207</v>
      </c>
      <c r="C63" s="20" t="s">
        <v>84</v>
      </c>
      <c r="D63" s="21"/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20260704-060</v>
      </c>
      <c r="B64" s="19">
        <f t="shared" si="3"/>
        <v>46207</v>
      </c>
      <c r="C64" s="20" t="s">
        <v>85</v>
      </c>
      <c r="D64" s="31"/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20260704-061</v>
      </c>
      <c r="B65" s="19">
        <f t="shared" si="3"/>
        <v>46207</v>
      </c>
      <c r="C65" s="20" t="s">
        <v>86</v>
      </c>
      <c r="D65" s="21"/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20260704-062</v>
      </c>
      <c r="B66" s="19">
        <f t="shared" si="3"/>
        <v>46207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20260704-063</v>
      </c>
      <c r="B67" s="19">
        <f t="shared" si="3"/>
        <v>46207</v>
      </c>
      <c r="C67" s="20" t="s">
        <v>88</v>
      </c>
      <c r="D67" s="21"/>
      <c r="E67" s="22"/>
      <c r="F67" s="23"/>
      <c r="G67" s="24"/>
      <c r="H67" s="25"/>
      <c r="I67" s="26"/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20260704-064</v>
      </c>
      <c r="B68" s="19">
        <f t="shared" si="3"/>
        <v>46207</v>
      </c>
      <c r="C68" s="20" t="s">
        <v>89</v>
      </c>
      <c r="D68" s="31"/>
      <c r="E68" s="22"/>
      <c r="F68" s="23"/>
      <c r="G68" s="24"/>
      <c r="H68" s="25"/>
      <c r="I68" s="26"/>
      <c r="J68" s="27"/>
      <c r="K68" s="28"/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20260704-065</v>
      </c>
      <c r="B69" s="19">
        <f t="shared" si="3"/>
        <v>46207</v>
      </c>
      <c r="C69" s="20" t="s">
        <v>90</v>
      </c>
      <c r="D69" s="21"/>
      <c r="E69" s="22"/>
      <c r="F69" s="23"/>
      <c r="G69" s="24"/>
      <c r="H69" s="25"/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20260704-066</v>
      </c>
      <c r="B70" s="19">
        <f t="shared" ref="B70:B80" si="5">$B$5</f>
        <v>46207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20260704-067</v>
      </c>
      <c r="B71" s="19">
        <f t="shared" si="5"/>
        <v>46207</v>
      </c>
      <c r="C71" s="20" t="s">
        <v>92</v>
      </c>
      <c r="D71" s="21"/>
      <c r="E71" s="22"/>
      <c r="F71" s="23"/>
      <c r="G71" s="24">
        <v>1</v>
      </c>
      <c r="H71" s="25"/>
      <c r="I71" s="26"/>
      <c r="J71" s="27"/>
      <c r="K71" s="28">
        <v>1</v>
      </c>
      <c r="L71" s="15"/>
      <c r="M71" s="16"/>
      <c r="N71" s="15"/>
      <c r="O71" s="16"/>
      <c r="P71" s="30"/>
    </row>
    <row r="72" spans="1:16">
      <c r="A72" s="18" t="str">
        <f t="shared" si="4"/>
        <v>20260704-068</v>
      </c>
      <c r="B72" s="19">
        <f t="shared" si="5"/>
        <v>46207</v>
      </c>
      <c r="C72" s="20" t="s">
        <v>93</v>
      </c>
      <c r="D72" s="31"/>
      <c r="E72" s="22">
        <v>1</v>
      </c>
      <c r="F72" s="23"/>
      <c r="G72" s="24"/>
      <c r="H72" s="25"/>
      <c r="I72" s="26"/>
      <c r="J72" s="27"/>
      <c r="K72" s="28">
        <v>1</v>
      </c>
      <c r="L72" s="15"/>
      <c r="M72" s="16"/>
      <c r="N72" s="15"/>
      <c r="O72" s="16"/>
      <c r="P72" s="17"/>
    </row>
    <row r="73" spans="1:16">
      <c r="A73" s="18" t="str">
        <f t="shared" si="4"/>
        <v>20260704-069</v>
      </c>
      <c r="B73" s="19">
        <f t="shared" si="5"/>
        <v>46207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20260704-070</v>
      </c>
      <c r="B74" s="19">
        <f t="shared" si="5"/>
        <v>46207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2</v>
      </c>
      <c r="M74" s="16"/>
      <c r="N74" s="15"/>
      <c r="O74" s="16"/>
    </row>
    <row r="75" spans="1:16">
      <c r="A75" s="18" t="str">
        <f t="shared" si="4"/>
        <v>20260704-071</v>
      </c>
      <c r="B75" s="19">
        <f t="shared" si="5"/>
        <v>46207</v>
      </c>
      <c r="C75" s="20" t="s">
        <v>96</v>
      </c>
      <c r="D75" s="21"/>
      <c r="E75" s="22"/>
      <c r="F75" s="23"/>
      <c r="G75" s="24"/>
      <c r="H75" s="25"/>
      <c r="I75" s="26"/>
      <c r="J75" s="27"/>
      <c r="K75" s="28"/>
      <c r="L75" s="15"/>
      <c r="M75" s="16"/>
      <c r="N75" s="15"/>
      <c r="O75" s="16"/>
      <c r="P75" s="30"/>
    </row>
    <row r="76" spans="1:16">
      <c r="A76" s="18" t="str">
        <f t="shared" si="4"/>
        <v>20260704-072</v>
      </c>
      <c r="B76" s="19">
        <f t="shared" si="5"/>
        <v>46207</v>
      </c>
      <c r="C76" s="20" t="s">
        <v>97</v>
      </c>
      <c r="D76" s="31"/>
      <c r="E76" s="22"/>
      <c r="F76" s="23"/>
      <c r="G76" s="24">
        <v>2</v>
      </c>
      <c r="H76" s="25"/>
      <c r="I76" s="26"/>
      <c r="J76" s="27"/>
      <c r="K76" s="28">
        <v>1</v>
      </c>
      <c r="L76" s="15"/>
      <c r="M76" s="16"/>
      <c r="N76" s="15"/>
      <c r="O76" s="16"/>
    </row>
    <row r="77" spans="1:16">
      <c r="A77" s="18" t="str">
        <f t="shared" si="4"/>
        <v>20260704-073</v>
      </c>
      <c r="B77" s="19">
        <f t="shared" si="5"/>
        <v>46207</v>
      </c>
      <c r="C77" s="20" t="s">
        <v>98</v>
      </c>
      <c r="D77" s="21"/>
      <c r="E77" s="22"/>
      <c r="F77" s="23"/>
      <c r="G77" s="24">
        <v>1</v>
      </c>
      <c r="H77" s="25"/>
      <c r="I77" s="26"/>
      <c r="J77" s="27"/>
      <c r="K77" s="28"/>
      <c r="L77" s="34">
        <v>2</v>
      </c>
      <c r="M77" s="16"/>
      <c r="N77" s="15"/>
      <c r="O77" s="16"/>
      <c r="P77" s="30"/>
    </row>
    <row r="78" spans="1:16">
      <c r="A78" s="18" t="str">
        <f t="shared" si="4"/>
        <v>20260704-074</v>
      </c>
      <c r="B78" s="19">
        <f t="shared" si="5"/>
        <v>46207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20260704-075</v>
      </c>
      <c r="B79" s="19">
        <f t="shared" si="5"/>
        <v>46207</v>
      </c>
      <c r="C79" s="20" t="s">
        <v>100</v>
      </c>
      <c r="D79" s="21"/>
      <c r="E79" s="22">
        <v>1</v>
      </c>
      <c r="F79" s="23"/>
      <c r="G79" s="24"/>
      <c r="H79" s="25"/>
      <c r="I79" s="26"/>
      <c r="J79" s="27"/>
      <c r="K79" s="28">
        <v>1</v>
      </c>
      <c r="L79" s="15"/>
      <c r="M79" s="16"/>
      <c r="N79" s="15"/>
      <c r="O79" s="16"/>
      <c r="P79" s="30"/>
    </row>
    <row r="80" spans="1:16">
      <c r="A80" s="18" t="str">
        <f t="shared" si="4"/>
        <v>20260704-076</v>
      </c>
      <c r="B80" s="19">
        <f t="shared" si="5"/>
        <v>46207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0"/>
  <sheetViews>
    <sheetView workbookViewId="0">
      <selection activeCell="C14" sqref="C1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20260705-001</v>
      </c>
      <c r="B5" s="5">
        <v>46208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20260705-002</v>
      </c>
      <c r="B6" s="19">
        <f t="shared" ref="B6:B37" si="1">$B$5</f>
        <v>46208</v>
      </c>
      <c r="C6" s="20" t="s">
        <v>28</v>
      </c>
      <c r="D6" s="21"/>
      <c r="E6" s="22"/>
      <c r="F6" s="23"/>
      <c r="G6" s="24"/>
      <c r="H6" s="25"/>
      <c r="I6" s="26"/>
      <c r="J6" s="27"/>
      <c r="K6" s="28"/>
      <c r="L6" s="15"/>
      <c r="M6" s="29"/>
      <c r="N6" s="15"/>
      <c r="O6" s="29"/>
      <c r="P6" s="30"/>
    </row>
    <row r="7" spans="1:16">
      <c r="A7" s="18" t="str">
        <f t="shared" si="0"/>
        <v>20260705-003</v>
      </c>
      <c r="B7" s="19">
        <f t="shared" si="1"/>
        <v>46208</v>
      </c>
      <c r="C7" s="20" t="s">
        <v>29</v>
      </c>
      <c r="D7" s="31"/>
      <c r="E7" s="22"/>
      <c r="F7" s="23"/>
      <c r="G7" s="24"/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20260705-004</v>
      </c>
      <c r="B8" s="19">
        <f t="shared" si="1"/>
        <v>46208</v>
      </c>
      <c r="C8" s="20" t="s">
        <v>30</v>
      </c>
      <c r="D8" s="21"/>
      <c r="E8" s="22"/>
      <c r="F8" s="23"/>
      <c r="G8" s="24"/>
      <c r="H8" s="25"/>
      <c r="I8" s="26"/>
      <c r="J8" s="27"/>
      <c r="K8" s="28"/>
      <c r="L8" s="15"/>
      <c r="M8" s="16"/>
      <c r="N8" s="15"/>
      <c r="O8" s="16"/>
      <c r="P8" s="30"/>
    </row>
    <row r="9" spans="1:16">
      <c r="A9" s="18" t="str">
        <f t="shared" si="0"/>
        <v>20260705-005</v>
      </c>
      <c r="B9" s="19">
        <f t="shared" si="1"/>
        <v>46208</v>
      </c>
      <c r="C9" s="20" t="s">
        <v>31</v>
      </c>
      <c r="D9" s="31"/>
      <c r="E9" s="22"/>
      <c r="F9" s="23"/>
      <c r="G9" s="24"/>
      <c r="H9" s="25"/>
      <c r="I9" s="26"/>
      <c r="J9" s="27"/>
      <c r="K9" s="28"/>
      <c r="L9" s="15"/>
      <c r="M9" s="29"/>
      <c r="N9" s="15"/>
      <c r="O9" s="29"/>
      <c r="P9" s="17"/>
    </row>
    <row r="10" spans="1:16">
      <c r="A10" s="18" t="str">
        <f t="shared" si="0"/>
        <v>20260705-006</v>
      </c>
      <c r="B10" s="19">
        <f t="shared" si="1"/>
        <v>46208</v>
      </c>
      <c r="C10" s="20" t="s">
        <v>32</v>
      </c>
      <c r="D10" s="21"/>
      <c r="E10" s="22"/>
      <c r="F10" s="23"/>
      <c r="G10" s="24"/>
      <c r="H10" s="25"/>
      <c r="I10" s="26"/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20260705-007</v>
      </c>
      <c r="B11" s="19">
        <f t="shared" si="1"/>
        <v>46208</v>
      </c>
      <c r="C11" s="20" t="s">
        <v>33</v>
      </c>
      <c r="D11" s="31"/>
      <c r="E11" s="22"/>
      <c r="F11" s="23"/>
      <c r="G11" s="24"/>
      <c r="H11" s="25"/>
      <c r="I11" s="26"/>
      <c r="J11" s="27"/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20260705-008</v>
      </c>
      <c r="B12" s="19">
        <f t="shared" si="1"/>
        <v>46208</v>
      </c>
      <c r="C12" s="33" t="s">
        <v>34</v>
      </c>
      <c r="D12" s="21"/>
      <c r="E12" s="22"/>
      <c r="F12" s="23"/>
      <c r="G12" s="24"/>
      <c r="H12" s="25"/>
      <c r="I12" s="26"/>
      <c r="J12" s="27"/>
      <c r="K12" s="28"/>
      <c r="L12" s="15"/>
      <c r="M12" s="16"/>
      <c r="N12" s="15"/>
      <c r="O12" s="16"/>
      <c r="P12" s="30"/>
    </row>
    <row r="13" spans="1:16">
      <c r="A13" s="18" t="str">
        <f t="shared" si="0"/>
        <v>20260705-009</v>
      </c>
      <c r="B13" s="19">
        <f t="shared" si="1"/>
        <v>46208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20260705-010</v>
      </c>
      <c r="B14" s="19">
        <f t="shared" si="1"/>
        <v>46208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20260705-011</v>
      </c>
      <c r="B15" s="19">
        <f t="shared" si="1"/>
        <v>46208</v>
      </c>
      <c r="C15" s="33" t="s">
        <v>36</v>
      </c>
      <c r="D15" s="31"/>
      <c r="E15" s="22"/>
      <c r="F15" s="23"/>
      <c r="G15" s="24"/>
      <c r="H15" s="25"/>
      <c r="I15" s="26"/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20260705-012</v>
      </c>
      <c r="B16" s="19">
        <f t="shared" si="1"/>
        <v>46208</v>
      </c>
      <c r="C16" s="20" t="s">
        <v>37</v>
      </c>
      <c r="D16" s="21"/>
      <c r="E16" s="22"/>
      <c r="F16" s="23"/>
      <c r="G16" s="24"/>
      <c r="H16" s="25"/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20260705-013</v>
      </c>
      <c r="B17" s="19">
        <f t="shared" si="1"/>
        <v>46208</v>
      </c>
      <c r="C17" s="20" t="s">
        <v>38</v>
      </c>
      <c r="D17" s="31"/>
      <c r="E17" s="22"/>
      <c r="F17" s="23"/>
      <c r="G17" s="24"/>
      <c r="H17" s="25"/>
      <c r="I17" s="26"/>
      <c r="J17" s="27"/>
      <c r="K17" s="28"/>
      <c r="L17" s="15"/>
      <c r="M17" s="16"/>
      <c r="N17" s="15"/>
      <c r="O17" s="16"/>
      <c r="P17" s="17"/>
    </row>
    <row r="18" spans="1:16">
      <c r="A18" s="18" t="str">
        <f t="shared" si="0"/>
        <v>20260705-014</v>
      </c>
      <c r="B18" s="19">
        <f t="shared" si="1"/>
        <v>46208</v>
      </c>
      <c r="C18" s="20" t="s">
        <v>39</v>
      </c>
      <c r="D18" s="21"/>
      <c r="E18" s="22"/>
      <c r="F18" s="23"/>
      <c r="G18" s="24"/>
      <c r="H18" s="25"/>
      <c r="I18" s="26"/>
      <c r="J18" s="27"/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20260705-015</v>
      </c>
      <c r="B19" s="19">
        <f t="shared" si="1"/>
        <v>46208</v>
      </c>
      <c r="C19" s="20" t="s">
        <v>40</v>
      </c>
      <c r="D19" s="31"/>
      <c r="E19" s="22"/>
      <c r="F19" s="23"/>
      <c r="G19" s="24"/>
      <c r="H19" s="25"/>
      <c r="I19" s="26"/>
      <c r="J19" s="27"/>
      <c r="K19" s="28"/>
      <c r="L19" s="15"/>
      <c r="M19" s="16"/>
      <c r="N19" s="15"/>
      <c r="O19" s="16"/>
      <c r="P19" s="17"/>
    </row>
    <row r="20" spans="1:16">
      <c r="A20" s="18" t="str">
        <f t="shared" si="0"/>
        <v>20260705-016</v>
      </c>
      <c r="B20" s="19">
        <f t="shared" si="1"/>
        <v>46208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20260705-017</v>
      </c>
      <c r="B21" s="19">
        <f t="shared" si="1"/>
        <v>46208</v>
      </c>
      <c r="C21" s="20" t="s">
        <v>42</v>
      </c>
      <c r="D21" s="31"/>
      <c r="E21" s="22"/>
      <c r="F21" s="23"/>
      <c r="G21" s="24"/>
      <c r="H21" s="25"/>
      <c r="I21" s="26"/>
      <c r="J21" s="27"/>
      <c r="K21" s="28"/>
      <c r="L21" s="15"/>
      <c r="M21" s="16"/>
      <c r="N21" s="15"/>
      <c r="O21" s="16"/>
      <c r="P21" s="17"/>
    </row>
    <row r="22" spans="1:16">
      <c r="A22" s="18" t="str">
        <f t="shared" si="0"/>
        <v>20260705-018</v>
      </c>
      <c r="B22" s="19">
        <f t="shared" si="1"/>
        <v>46208</v>
      </c>
      <c r="C22" s="20" t="s">
        <v>43</v>
      </c>
      <c r="D22" s="21"/>
      <c r="E22" s="22"/>
      <c r="F22" s="23"/>
      <c r="G22" s="24"/>
      <c r="H22" s="25"/>
      <c r="I22" s="26"/>
      <c r="J22" s="27"/>
      <c r="K22" s="28"/>
      <c r="L22" s="15"/>
      <c r="M22" s="16"/>
      <c r="N22" s="15"/>
      <c r="O22" s="16"/>
      <c r="P22" s="30"/>
    </row>
    <row r="23" spans="1:16">
      <c r="A23" s="18" t="str">
        <f t="shared" si="0"/>
        <v>20260705-019</v>
      </c>
      <c r="B23" s="19">
        <f t="shared" si="1"/>
        <v>46208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20260705-020</v>
      </c>
      <c r="B24" s="19">
        <f t="shared" si="1"/>
        <v>46208</v>
      </c>
      <c r="C24" s="20" t="s">
        <v>45</v>
      </c>
      <c r="D24" s="21"/>
      <c r="E24" s="22"/>
      <c r="F24" s="23"/>
      <c r="G24" s="24"/>
      <c r="H24" s="25"/>
      <c r="I24" s="26"/>
      <c r="J24" s="27"/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20260705-021</v>
      </c>
      <c r="B25" s="19">
        <f t="shared" si="1"/>
        <v>46208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20260705-022</v>
      </c>
      <c r="B26" s="19">
        <f t="shared" si="1"/>
        <v>46208</v>
      </c>
      <c r="C26" s="20" t="s">
        <v>47</v>
      </c>
      <c r="D26" s="21"/>
      <c r="E26" s="22"/>
      <c r="F26" s="23"/>
      <c r="G26" s="24"/>
      <c r="H26" s="25"/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20260705-023</v>
      </c>
      <c r="B27" s="19">
        <f t="shared" si="1"/>
        <v>46208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20260705-024</v>
      </c>
      <c r="B28" s="19">
        <f t="shared" si="1"/>
        <v>46208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20260705-025</v>
      </c>
      <c r="B29" s="19">
        <f t="shared" si="1"/>
        <v>46208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20260705-026</v>
      </c>
      <c r="B30" s="19">
        <f t="shared" si="1"/>
        <v>46208</v>
      </c>
      <c r="C30" s="20" t="s">
        <v>51</v>
      </c>
      <c r="D30" s="21"/>
      <c r="E30" s="22"/>
      <c r="F30" s="23"/>
      <c r="G30" s="24"/>
      <c r="H30" s="25"/>
      <c r="I30" s="26"/>
      <c r="J30" s="27"/>
      <c r="K30" s="28"/>
      <c r="L30" s="15"/>
      <c r="M30" s="16"/>
      <c r="N30" s="15"/>
      <c r="O30" s="16"/>
      <c r="P30" s="30"/>
    </row>
    <row r="31" spans="1:16">
      <c r="A31" s="18" t="str">
        <f t="shared" si="0"/>
        <v>20260705-027</v>
      </c>
      <c r="B31" s="19">
        <f t="shared" si="1"/>
        <v>46208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20260705-028</v>
      </c>
      <c r="B32" s="19">
        <f t="shared" si="1"/>
        <v>46208</v>
      </c>
      <c r="C32" s="20" t="s">
        <v>53</v>
      </c>
      <c r="D32" s="21"/>
      <c r="E32" s="22"/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20260705-029</v>
      </c>
      <c r="B33" s="19">
        <f t="shared" si="1"/>
        <v>46208</v>
      </c>
      <c r="C33" s="20" t="s">
        <v>54</v>
      </c>
      <c r="D33" s="31"/>
      <c r="E33" s="22"/>
      <c r="F33" s="23"/>
      <c r="G33" s="24"/>
      <c r="H33" s="25"/>
      <c r="I33" s="26"/>
      <c r="J33" s="27"/>
      <c r="K33" s="28"/>
      <c r="L33" s="15"/>
      <c r="M33" s="16"/>
      <c r="N33" s="15"/>
      <c r="O33" s="16"/>
      <c r="P33" s="17"/>
    </row>
    <row r="34" spans="1:16">
      <c r="A34" s="18" t="str">
        <f t="shared" si="0"/>
        <v>20260705-030</v>
      </c>
      <c r="B34" s="19">
        <f t="shared" si="1"/>
        <v>46208</v>
      </c>
      <c r="C34" s="20" t="s">
        <v>55</v>
      </c>
      <c r="D34" s="21"/>
      <c r="E34" s="22"/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20260705-031</v>
      </c>
      <c r="B35" s="19">
        <f t="shared" si="1"/>
        <v>46208</v>
      </c>
      <c r="C35" s="20" t="s">
        <v>56</v>
      </c>
      <c r="D35" s="31"/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20260705-032</v>
      </c>
      <c r="B36" s="19">
        <f t="shared" si="1"/>
        <v>46208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20260705-033</v>
      </c>
      <c r="B37" s="19">
        <f t="shared" si="1"/>
        <v>46208</v>
      </c>
      <c r="C37" s="20" t="s">
        <v>58</v>
      </c>
      <c r="D37" s="31"/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20260705-034</v>
      </c>
      <c r="B38" s="19">
        <f t="shared" ref="B38:B69" si="3">$B$5</f>
        <v>46208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20260705-035</v>
      </c>
      <c r="B39" s="19">
        <f t="shared" si="3"/>
        <v>46208</v>
      </c>
      <c r="C39" s="20" t="s">
        <v>60</v>
      </c>
      <c r="D39" s="31"/>
      <c r="E39" s="22"/>
      <c r="F39" s="23"/>
      <c r="G39" s="24"/>
      <c r="H39" s="25"/>
      <c r="I39" s="26"/>
      <c r="J39" s="27"/>
      <c r="K39" s="28"/>
      <c r="L39" s="15"/>
      <c r="M39" s="16"/>
      <c r="N39" s="15"/>
      <c r="O39" s="16"/>
      <c r="P39" s="17"/>
    </row>
    <row r="40" spans="1:16">
      <c r="A40" s="18" t="str">
        <f t="shared" si="2"/>
        <v>20260705-036</v>
      </c>
      <c r="B40" s="19">
        <f t="shared" si="3"/>
        <v>46208</v>
      </c>
      <c r="C40" s="20" t="s">
        <v>61</v>
      </c>
      <c r="D40" s="21"/>
      <c r="E40" s="22"/>
      <c r="F40" s="23"/>
      <c r="G40" s="24"/>
      <c r="H40" s="25"/>
      <c r="I40" s="26"/>
      <c r="J40" s="27"/>
      <c r="K40" s="28"/>
      <c r="L40" s="15"/>
      <c r="M40" s="16"/>
      <c r="N40" s="15"/>
      <c r="O40" s="16"/>
      <c r="P40" s="30"/>
    </row>
    <row r="41" spans="1:16">
      <c r="A41" s="18" t="str">
        <f t="shared" si="2"/>
        <v>20260705-037</v>
      </c>
      <c r="B41" s="19">
        <f t="shared" si="3"/>
        <v>46208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20260705-038</v>
      </c>
      <c r="B42" s="19">
        <f t="shared" si="3"/>
        <v>46208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20260705-039</v>
      </c>
      <c r="B43" s="19">
        <f t="shared" si="3"/>
        <v>46208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20260705-040</v>
      </c>
      <c r="B44" s="19">
        <f t="shared" si="3"/>
        <v>46208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20260705-041</v>
      </c>
      <c r="B45" s="19">
        <f t="shared" si="3"/>
        <v>46208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20260705-042</v>
      </c>
      <c r="B46" s="19">
        <f t="shared" si="3"/>
        <v>46208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20260705-043</v>
      </c>
      <c r="B47" s="19">
        <f t="shared" si="3"/>
        <v>46208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20260705-044</v>
      </c>
      <c r="B48" s="19">
        <f t="shared" si="3"/>
        <v>46208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20260705-045</v>
      </c>
      <c r="B49" s="19">
        <f t="shared" si="3"/>
        <v>46208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20260705-046</v>
      </c>
      <c r="B50" s="19">
        <f t="shared" si="3"/>
        <v>46208</v>
      </c>
      <c r="C50" s="20" t="s">
        <v>71</v>
      </c>
      <c r="D50" s="21"/>
      <c r="E50" s="22"/>
      <c r="F50" s="23"/>
      <c r="G50" s="24"/>
      <c r="H50" s="25"/>
      <c r="I50" s="26"/>
      <c r="J50" s="27"/>
      <c r="K50" s="28"/>
      <c r="L50" s="15"/>
      <c r="M50" s="16"/>
      <c r="N50" s="15"/>
      <c r="O50" s="16"/>
      <c r="P50" s="30"/>
    </row>
    <row r="51" spans="1:16">
      <c r="A51" s="18" t="str">
        <f t="shared" si="2"/>
        <v>20260705-047</v>
      </c>
      <c r="B51" s="19">
        <f t="shared" si="3"/>
        <v>46208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20260705-048</v>
      </c>
      <c r="B52" s="19">
        <f t="shared" si="3"/>
        <v>46208</v>
      </c>
      <c r="C52" s="20" t="s">
        <v>73</v>
      </c>
      <c r="D52" s="21"/>
      <c r="E52" s="22"/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20260705-049</v>
      </c>
      <c r="B53" s="19">
        <f t="shared" si="3"/>
        <v>46208</v>
      </c>
      <c r="C53" s="20" t="s">
        <v>74</v>
      </c>
      <c r="D53" s="31"/>
      <c r="E53" s="22"/>
      <c r="F53" s="23"/>
      <c r="G53" s="24"/>
      <c r="H53" s="25"/>
      <c r="I53" s="26"/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20260705-050</v>
      </c>
      <c r="B54" s="19">
        <f t="shared" si="3"/>
        <v>46208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20260705-051</v>
      </c>
      <c r="B55" s="19">
        <f t="shared" si="3"/>
        <v>46208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20260705-052</v>
      </c>
      <c r="B56" s="19">
        <f t="shared" si="3"/>
        <v>46208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20260705-053</v>
      </c>
      <c r="B57" s="19">
        <f t="shared" si="3"/>
        <v>46208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20260705-054</v>
      </c>
      <c r="B58" s="19">
        <f t="shared" si="3"/>
        <v>46208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20260705-055</v>
      </c>
      <c r="B59" s="19">
        <f t="shared" si="3"/>
        <v>46208</v>
      </c>
      <c r="C59" s="20" t="s">
        <v>80</v>
      </c>
      <c r="D59" s="31"/>
      <c r="E59" s="22"/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20260705-056</v>
      </c>
      <c r="B60" s="19">
        <f t="shared" si="3"/>
        <v>46208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20260705-057</v>
      </c>
      <c r="B61" s="19">
        <f t="shared" si="3"/>
        <v>46208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20260705-058</v>
      </c>
      <c r="B62" s="19">
        <f t="shared" si="3"/>
        <v>46208</v>
      </c>
      <c r="C62" s="20" t="s">
        <v>83</v>
      </c>
      <c r="D62" s="31"/>
      <c r="E62" s="22"/>
      <c r="F62" s="23"/>
      <c r="G62" s="24"/>
      <c r="H62" s="25"/>
      <c r="I62" s="26"/>
      <c r="J62" s="27"/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20260705-059</v>
      </c>
      <c r="B63" s="19">
        <f t="shared" si="3"/>
        <v>46208</v>
      </c>
      <c r="C63" s="20" t="s">
        <v>84</v>
      </c>
      <c r="D63" s="21"/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20260705-060</v>
      </c>
      <c r="B64" s="19">
        <f t="shared" si="3"/>
        <v>46208</v>
      </c>
      <c r="C64" s="20" t="s">
        <v>85</v>
      </c>
      <c r="D64" s="31"/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20260705-061</v>
      </c>
      <c r="B65" s="19">
        <f t="shared" si="3"/>
        <v>46208</v>
      </c>
      <c r="C65" s="20" t="s">
        <v>86</v>
      </c>
      <c r="D65" s="21"/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20260705-062</v>
      </c>
      <c r="B66" s="19">
        <f t="shared" si="3"/>
        <v>46208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20260705-063</v>
      </c>
      <c r="B67" s="19">
        <f t="shared" si="3"/>
        <v>46208</v>
      </c>
      <c r="C67" s="20" t="s">
        <v>88</v>
      </c>
      <c r="D67" s="21"/>
      <c r="E67" s="22"/>
      <c r="F67" s="23"/>
      <c r="G67" s="24"/>
      <c r="H67" s="25"/>
      <c r="I67" s="26"/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20260705-064</v>
      </c>
      <c r="B68" s="19">
        <f t="shared" si="3"/>
        <v>46208</v>
      </c>
      <c r="C68" s="20" t="s">
        <v>89</v>
      </c>
      <c r="D68" s="31"/>
      <c r="E68" s="22"/>
      <c r="F68" s="23"/>
      <c r="G68" s="24"/>
      <c r="H68" s="25"/>
      <c r="I68" s="26"/>
      <c r="J68" s="27"/>
      <c r="K68" s="28"/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20260705-065</v>
      </c>
      <c r="B69" s="19">
        <f t="shared" si="3"/>
        <v>46208</v>
      </c>
      <c r="C69" s="20" t="s">
        <v>90</v>
      </c>
      <c r="D69" s="21"/>
      <c r="E69" s="22"/>
      <c r="F69" s="23"/>
      <c r="G69" s="24"/>
      <c r="H69" s="25"/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20260705-066</v>
      </c>
      <c r="B70" s="19">
        <f t="shared" ref="B70:B80" si="5">$B$5</f>
        <v>46208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20260705-067</v>
      </c>
      <c r="B71" s="19">
        <f t="shared" si="5"/>
        <v>46208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20260705-068</v>
      </c>
      <c r="B72" s="19">
        <f t="shared" si="5"/>
        <v>46208</v>
      </c>
      <c r="C72" s="20" t="s">
        <v>93</v>
      </c>
      <c r="D72" s="31"/>
      <c r="E72" s="22"/>
      <c r="F72" s="23"/>
      <c r="G72" s="24"/>
      <c r="H72" s="25"/>
      <c r="I72" s="26"/>
      <c r="J72" s="27"/>
      <c r="K72" s="28"/>
      <c r="L72" s="15"/>
      <c r="M72" s="16"/>
      <c r="N72" s="15"/>
      <c r="O72" s="16"/>
      <c r="P72" s="17"/>
    </row>
    <row r="73" spans="1:16">
      <c r="A73" s="18" t="str">
        <f t="shared" si="4"/>
        <v>20260705-069</v>
      </c>
      <c r="B73" s="19">
        <f t="shared" si="5"/>
        <v>46208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20260705-070</v>
      </c>
      <c r="B74" s="19">
        <f t="shared" si="5"/>
        <v>46208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/>
      <c r="M74" s="16"/>
      <c r="N74" s="15"/>
      <c r="O74" s="16"/>
    </row>
    <row r="75" spans="1:16">
      <c r="A75" s="18" t="str">
        <f t="shared" si="4"/>
        <v>20260705-071</v>
      </c>
      <c r="B75" s="19">
        <f t="shared" si="5"/>
        <v>46208</v>
      </c>
      <c r="C75" s="20" t="s">
        <v>96</v>
      </c>
      <c r="D75" s="21"/>
      <c r="E75" s="22"/>
      <c r="F75" s="23"/>
      <c r="G75" s="24"/>
      <c r="H75" s="25"/>
      <c r="I75" s="26"/>
      <c r="J75" s="27"/>
      <c r="K75" s="28"/>
      <c r="L75" s="15"/>
      <c r="M75" s="16"/>
      <c r="N75" s="15"/>
      <c r="O75" s="16"/>
      <c r="P75" s="30"/>
    </row>
    <row r="76" spans="1:16">
      <c r="A76" s="18" t="str">
        <f t="shared" si="4"/>
        <v>20260705-072</v>
      </c>
      <c r="B76" s="19">
        <f t="shared" si="5"/>
        <v>46208</v>
      </c>
      <c r="C76" s="20" t="s">
        <v>97</v>
      </c>
      <c r="D76" s="31"/>
      <c r="E76" s="22"/>
      <c r="F76" s="23"/>
      <c r="G76" s="24"/>
      <c r="H76" s="25"/>
      <c r="I76" s="26"/>
      <c r="J76" s="27"/>
      <c r="K76" s="28"/>
      <c r="L76" s="15"/>
      <c r="M76" s="16"/>
      <c r="N76" s="15"/>
      <c r="O76" s="16"/>
    </row>
    <row r="77" spans="1:16">
      <c r="A77" s="18" t="str">
        <f t="shared" si="4"/>
        <v>20260705-073</v>
      </c>
      <c r="B77" s="19">
        <f t="shared" si="5"/>
        <v>46208</v>
      </c>
      <c r="C77" s="20" t="s">
        <v>98</v>
      </c>
      <c r="D77" s="21"/>
      <c r="E77" s="22"/>
      <c r="F77" s="23"/>
      <c r="G77" s="24"/>
      <c r="H77" s="25"/>
      <c r="I77" s="26"/>
      <c r="J77" s="27"/>
      <c r="K77" s="28"/>
      <c r="L77" s="34"/>
      <c r="M77" s="16"/>
      <c r="N77" s="15"/>
      <c r="O77" s="16"/>
      <c r="P77" s="30"/>
    </row>
    <row r="78" spans="1:16">
      <c r="A78" s="18" t="str">
        <f t="shared" si="4"/>
        <v>20260705-074</v>
      </c>
      <c r="B78" s="19">
        <f t="shared" si="5"/>
        <v>46208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20260705-075</v>
      </c>
      <c r="B79" s="19">
        <f t="shared" si="5"/>
        <v>46208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20260705-076</v>
      </c>
      <c r="B80" s="19">
        <f t="shared" si="5"/>
        <v>46208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80"/>
  <sheetViews>
    <sheetView topLeftCell="C50" zoomScale="85" zoomScaleNormal="85" workbookViewId="0">
      <selection activeCell="C14" sqref="C1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20260706-001</v>
      </c>
      <c r="B5" s="5">
        <v>46209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20260706-002</v>
      </c>
      <c r="B6" s="19">
        <f t="shared" ref="B6:B37" si="1">$B$5</f>
        <v>46209</v>
      </c>
      <c r="C6" s="20" t="s">
        <v>28</v>
      </c>
      <c r="D6" s="21">
        <v>10</v>
      </c>
      <c r="E6" s="22">
        <v>6</v>
      </c>
      <c r="F6" s="23"/>
      <c r="G6" s="24">
        <v>10</v>
      </c>
      <c r="H6" s="25"/>
      <c r="I6" s="26"/>
      <c r="J6" s="27"/>
      <c r="K6" s="28">
        <v>15</v>
      </c>
      <c r="L6" s="15"/>
      <c r="M6" s="29"/>
      <c r="N6" s="15"/>
      <c r="O6" s="29"/>
      <c r="P6" s="30"/>
    </row>
    <row r="7" spans="1:16">
      <c r="A7" s="18" t="str">
        <f t="shared" si="0"/>
        <v>20260706-003</v>
      </c>
      <c r="B7" s="19">
        <f t="shared" si="1"/>
        <v>46209</v>
      </c>
      <c r="C7" s="20" t="s">
        <v>29</v>
      </c>
      <c r="D7" s="31"/>
      <c r="E7" s="22">
        <v>1</v>
      </c>
      <c r="F7" s="23"/>
      <c r="G7" s="24"/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20260706-004</v>
      </c>
      <c r="B8" s="19">
        <f t="shared" si="1"/>
        <v>46209</v>
      </c>
      <c r="C8" s="20" t="s">
        <v>30</v>
      </c>
      <c r="D8" s="21"/>
      <c r="E8" s="22"/>
      <c r="F8" s="23"/>
      <c r="G8" s="24"/>
      <c r="H8" s="25"/>
      <c r="I8" s="26"/>
      <c r="J8" s="27"/>
      <c r="K8" s="28"/>
      <c r="L8" s="15"/>
      <c r="M8" s="16"/>
      <c r="N8" s="15"/>
      <c r="O8" s="16"/>
      <c r="P8" s="30"/>
    </row>
    <row r="9" spans="1:16">
      <c r="A9" s="18" t="str">
        <f t="shared" si="0"/>
        <v>20260706-005</v>
      </c>
      <c r="B9" s="19">
        <f t="shared" si="1"/>
        <v>46209</v>
      </c>
      <c r="C9" s="20" t="s">
        <v>31</v>
      </c>
      <c r="D9" s="31"/>
      <c r="E9" s="22"/>
      <c r="F9" s="23"/>
      <c r="G9" s="24"/>
      <c r="H9" s="25"/>
      <c r="I9" s="26"/>
      <c r="J9" s="27"/>
      <c r="K9" s="28"/>
      <c r="L9" s="15"/>
      <c r="M9" s="29"/>
      <c r="N9" s="15"/>
      <c r="O9" s="29"/>
      <c r="P9" s="17"/>
    </row>
    <row r="10" spans="1:16">
      <c r="A10" s="18" t="str">
        <f t="shared" si="0"/>
        <v>20260706-006</v>
      </c>
      <c r="B10" s="19">
        <f t="shared" si="1"/>
        <v>46209</v>
      </c>
      <c r="C10" s="20" t="s">
        <v>32</v>
      </c>
      <c r="D10" s="21"/>
      <c r="E10" s="22"/>
      <c r="F10" s="23"/>
      <c r="G10" s="24"/>
      <c r="H10" s="25"/>
      <c r="I10" s="26">
        <v>2</v>
      </c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20260706-007</v>
      </c>
      <c r="B11" s="19">
        <f t="shared" si="1"/>
        <v>46209</v>
      </c>
      <c r="C11" s="20" t="s">
        <v>33</v>
      </c>
      <c r="D11" s="31"/>
      <c r="E11" s="22">
        <v>4</v>
      </c>
      <c r="F11" s="23"/>
      <c r="G11" s="24"/>
      <c r="H11" s="25">
        <v>30</v>
      </c>
      <c r="I11" s="26">
        <v>30</v>
      </c>
      <c r="J11" s="27">
        <v>5</v>
      </c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20260706-008</v>
      </c>
      <c r="B12" s="19">
        <f t="shared" si="1"/>
        <v>46209</v>
      </c>
      <c r="C12" s="33" t="s">
        <v>34</v>
      </c>
      <c r="D12" s="21">
        <v>10</v>
      </c>
      <c r="E12" s="22">
        <v>13</v>
      </c>
      <c r="F12" s="23"/>
      <c r="G12" s="24">
        <v>10</v>
      </c>
      <c r="H12" s="25"/>
      <c r="I12" s="26"/>
      <c r="J12" s="27"/>
      <c r="K12" s="28">
        <v>25</v>
      </c>
      <c r="L12" s="15"/>
      <c r="M12" s="16"/>
      <c r="N12" s="15"/>
      <c r="O12" s="16"/>
      <c r="P12" s="30"/>
    </row>
    <row r="13" spans="1:16">
      <c r="A13" s="18" t="str">
        <f t="shared" si="0"/>
        <v>20260706-009</v>
      </c>
      <c r="B13" s="19">
        <f t="shared" si="1"/>
        <v>46209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20260706-010</v>
      </c>
      <c r="B14" s="19">
        <f t="shared" si="1"/>
        <v>46209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20260706-011</v>
      </c>
      <c r="B15" s="19">
        <f t="shared" si="1"/>
        <v>46209</v>
      </c>
      <c r="C15" s="33" t="s">
        <v>36</v>
      </c>
      <c r="D15" s="31"/>
      <c r="E15" s="22"/>
      <c r="F15" s="23"/>
      <c r="G15" s="24"/>
      <c r="H15" s="25">
        <v>5</v>
      </c>
      <c r="I15" s="26"/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20260706-012</v>
      </c>
      <c r="B16" s="19">
        <f t="shared" si="1"/>
        <v>46209</v>
      </c>
      <c r="C16" s="20" t="s">
        <v>37</v>
      </c>
      <c r="D16" s="21"/>
      <c r="E16" s="22"/>
      <c r="F16" s="23"/>
      <c r="G16" s="24"/>
      <c r="H16" s="25"/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20260706-013</v>
      </c>
      <c r="B17" s="19">
        <f t="shared" si="1"/>
        <v>46209</v>
      </c>
      <c r="C17" s="20" t="s">
        <v>38</v>
      </c>
      <c r="D17" s="31"/>
      <c r="E17" s="22"/>
      <c r="F17" s="23"/>
      <c r="G17" s="24">
        <v>1</v>
      </c>
      <c r="H17" s="25">
        <v>2</v>
      </c>
      <c r="I17" s="26"/>
      <c r="J17" s="27"/>
      <c r="K17" s="28">
        <v>2</v>
      </c>
      <c r="L17" s="15"/>
      <c r="M17" s="16"/>
      <c r="N17" s="15"/>
      <c r="O17" s="16"/>
      <c r="P17" s="17"/>
    </row>
    <row r="18" spans="1:16">
      <c r="A18" s="18" t="str">
        <f t="shared" si="0"/>
        <v>20260706-014</v>
      </c>
      <c r="B18" s="19">
        <f t="shared" si="1"/>
        <v>46209</v>
      </c>
      <c r="C18" s="20" t="s">
        <v>39</v>
      </c>
      <c r="D18" s="21"/>
      <c r="E18" s="22"/>
      <c r="F18" s="23"/>
      <c r="G18" s="24"/>
      <c r="H18" s="25">
        <v>1</v>
      </c>
      <c r="I18" s="26">
        <v>1</v>
      </c>
      <c r="J18" s="27"/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20260706-015</v>
      </c>
      <c r="B19" s="19">
        <f t="shared" si="1"/>
        <v>46209</v>
      </c>
      <c r="C19" s="20" t="s">
        <v>40</v>
      </c>
      <c r="D19" s="31"/>
      <c r="E19" s="22">
        <v>1</v>
      </c>
      <c r="F19" s="23"/>
      <c r="G19" s="24"/>
      <c r="H19" s="25">
        <v>2</v>
      </c>
      <c r="I19" s="26">
        <v>2</v>
      </c>
      <c r="J19" s="27"/>
      <c r="K19" s="28"/>
      <c r="L19" s="15"/>
      <c r="M19" s="16"/>
      <c r="N19" s="15"/>
      <c r="O19" s="16"/>
      <c r="P19" s="17"/>
    </row>
    <row r="20" spans="1:16">
      <c r="A20" s="18" t="str">
        <f t="shared" si="0"/>
        <v>20260706-016</v>
      </c>
      <c r="B20" s="19">
        <f t="shared" si="1"/>
        <v>46209</v>
      </c>
      <c r="C20" s="20" t="s">
        <v>41</v>
      </c>
      <c r="D20" s="21"/>
      <c r="E20" s="22"/>
      <c r="F20" s="23"/>
      <c r="G20" s="24">
        <v>1</v>
      </c>
      <c r="H20" s="25"/>
      <c r="I20" s="26"/>
      <c r="J20" s="27"/>
      <c r="K20" s="28">
        <v>1</v>
      </c>
      <c r="L20" s="15"/>
      <c r="M20" s="16"/>
      <c r="N20" s="15"/>
      <c r="O20" s="16"/>
      <c r="P20" s="30"/>
    </row>
    <row r="21" spans="1:16">
      <c r="A21" s="18" t="str">
        <f t="shared" si="0"/>
        <v>20260706-017</v>
      </c>
      <c r="B21" s="19">
        <f t="shared" si="1"/>
        <v>46209</v>
      </c>
      <c r="C21" s="20" t="s">
        <v>42</v>
      </c>
      <c r="D21" s="31"/>
      <c r="E21" s="22"/>
      <c r="F21" s="23"/>
      <c r="G21" s="24"/>
      <c r="H21" s="25"/>
      <c r="I21" s="26"/>
      <c r="J21" s="27"/>
      <c r="K21" s="28"/>
      <c r="L21" s="15"/>
      <c r="M21" s="16"/>
      <c r="N21" s="15"/>
      <c r="O21" s="16"/>
      <c r="P21" s="17"/>
    </row>
    <row r="22" spans="1:16">
      <c r="A22" s="18" t="str">
        <f t="shared" si="0"/>
        <v>20260706-018</v>
      </c>
      <c r="B22" s="19">
        <f t="shared" si="1"/>
        <v>46209</v>
      </c>
      <c r="C22" s="20" t="s">
        <v>43</v>
      </c>
      <c r="D22" s="21"/>
      <c r="E22" s="22">
        <v>2</v>
      </c>
      <c r="F22" s="23"/>
      <c r="G22" s="24">
        <v>1</v>
      </c>
      <c r="H22" s="25">
        <v>1</v>
      </c>
      <c r="I22" s="26">
        <v>4</v>
      </c>
      <c r="J22" s="27"/>
      <c r="K22" s="28">
        <v>3</v>
      </c>
      <c r="L22" s="15"/>
      <c r="M22" s="16"/>
      <c r="N22" s="15"/>
      <c r="O22" s="16"/>
      <c r="P22" s="30"/>
    </row>
    <row r="23" spans="1:16">
      <c r="A23" s="18" t="str">
        <f t="shared" si="0"/>
        <v>20260706-019</v>
      </c>
      <c r="B23" s="19">
        <f t="shared" si="1"/>
        <v>46209</v>
      </c>
      <c r="C23" s="20" t="s">
        <v>44</v>
      </c>
      <c r="D23" s="31"/>
      <c r="E23" s="22"/>
      <c r="F23" s="23"/>
      <c r="G23" s="24"/>
      <c r="H23" s="25">
        <v>1</v>
      </c>
      <c r="I23" s="26">
        <v>3</v>
      </c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20260706-020</v>
      </c>
      <c r="B24" s="19">
        <f t="shared" si="1"/>
        <v>46209</v>
      </c>
      <c r="C24" s="20" t="s">
        <v>45</v>
      </c>
      <c r="D24" s="21"/>
      <c r="E24" s="22"/>
      <c r="F24" s="23"/>
      <c r="G24" s="24"/>
      <c r="H24" s="25"/>
      <c r="I24" s="26"/>
      <c r="J24" s="27"/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20260706-021</v>
      </c>
      <c r="B25" s="19">
        <f t="shared" si="1"/>
        <v>46209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20260706-022</v>
      </c>
      <c r="B26" s="19">
        <f t="shared" si="1"/>
        <v>46209</v>
      </c>
      <c r="C26" s="20" t="s">
        <v>47</v>
      </c>
      <c r="D26" s="21"/>
      <c r="E26" s="22"/>
      <c r="F26" s="23"/>
      <c r="G26" s="24"/>
      <c r="H26" s="25">
        <v>10</v>
      </c>
      <c r="I26" s="26">
        <v>4</v>
      </c>
      <c r="J26" s="27">
        <v>2</v>
      </c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20260706-023</v>
      </c>
      <c r="B27" s="19">
        <f t="shared" si="1"/>
        <v>46209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20260706-024</v>
      </c>
      <c r="B28" s="19">
        <f t="shared" si="1"/>
        <v>46209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20260706-025</v>
      </c>
      <c r="B29" s="19">
        <f t="shared" si="1"/>
        <v>46209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20260706-026</v>
      </c>
      <c r="B30" s="19">
        <f t="shared" si="1"/>
        <v>46209</v>
      </c>
      <c r="C30" s="20" t="s">
        <v>51</v>
      </c>
      <c r="D30" s="21"/>
      <c r="E30" s="22">
        <v>2</v>
      </c>
      <c r="F30" s="23"/>
      <c r="G30" s="24">
        <v>2</v>
      </c>
      <c r="H30" s="25"/>
      <c r="I30" s="26"/>
      <c r="J30" s="27"/>
      <c r="K30" s="28"/>
      <c r="L30" s="15"/>
      <c r="M30" s="16"/>
      <c r="N30" s="15"/>
      <c r="O30" s="16"/>
      <c r="P30" s="30"/>
    </row>
    <row r="31" spans="1:16">
      <c r="A31" s="18" t="str">
        <f t="shared" si="0"/>
        <v>20260706-027</v>
      </c>
      <c r="B31" s="19">
        <f t="shared" si="1"/>
        <v>46209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20260706-028</v>
      </c>
      <c r="B32" s="19">
        <f t="shared" si="1"/>
        <v>46209</v>
      </c>
      <c r="C32" s="20" t="s">
        <v>53</v>
      </c>
      <c r="D32" s="21"/>
      <c r="E32" s="22"/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20260706-029</v>
      </c>
      <c r="B33" s="19">
        <f t="shared" si="1"/>
        <v>46209</v>
      </c>
      <c r="C33" s="20" t="s">
        <v>54</v>
      </c>
      <c r="D33" s="31"/>
      <c r="E33" s="22"/>
      <c r="F33" s="23"/>
      <c r="G33" s="24">
        <v>3</v>
      </c>
      <c r="H33" s="25"/>
      <c r="I33" s="26">
        <v>1</v>
      </c>
      <c r="J33" s="27"/>
      <c r="K33" s="28"/>
      <c r="L33" s="15"/>
      <c r="M33" s="16"/>
      <c r="N33" s="15"/>
      <c r="O33" s="16"/>
      <c r="P33" s="17"/>
    </row>
    <row r="34" spans="1:16">
      <c r="A34" s="18" t="str">
        <f t="shared" si="0"/>
        <v>20260706-030</v>
      </c>
      <c r="B34" s="19">
        <f t="shared" si="1"/>
        <v>46209</v>
      </c>
      <c r="C34" s="20" t="s">
        <v>55</v>
      </c>
      <c r="D34" s="21"/>
      <c r="E34" s="22">
        <v>2</v>
      </c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20260706-031</v>
      </c>
      <c r="B35" s="19">
        <f t="shared" si="1"/>
        <v>46209</v>
      </c>
      <c r="C35" s="20" t="s">
        <v>56</v>
      </c>
      <c r="D35" s="31"/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20260706-032</v>
      </c>
      <c r="B36" s="19">
        <f t="shared" si="1"/>
        <v>46209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20260706-033</v>
      </c>
      <c r="B37" s="19">
        <f t="shared" si="1"/>
        <v>46209</v>
      </c>
      <c r="C37" s="20" t="s">
        <v>58</v>
      </c>
      <c r="D37" s="31"/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20260706-034</v>
      </c>
      <c r="B38" s="19">
        <f t="shared" ref="B38:B69" si="3">$B$5</f>
        <v>46209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20260706-035</v>
      </c>
      <c r="B39" s="19">
        <f t="shared" si="3"/>
        <v>46209</v>
      </c>
      <c r="C39" s="20" t="s">
        <v>60</v>
      </c>
      <c r="D39" s="31"/>
      <c r="E39" s="22"/>
      <c r="F39" s="23"/>
      <c r="G39" s="24"/>
      <c r="H39" s="25"/>
      <c r="I39" s="26"/>
      <c r="J39" s="27"/>
      <c r="K39" s="28"/>
      <c r="L39" s="15"/>
      <c r="M39" s="16"/>
      <c r="N39" s="15"/>
      <c r="O39" s="16"/>
      <c r="P39" s="17"/>
    </row>
    <row r="40" spans="1:16">
      <c r="A40" s="18" t="str">
        <f t="shared" si="2"/>
        <v>20260706-036</v>
      </c>
      <c r="B40" s="19">
        <f t="shared" si="3"/>
        <v>46209</v>
      </c>
      <c r="C40" s="20" t="s">
        <v>61</v>
      </c>
      <c r="D40" s="21"/>
      <c r="E40" s="22"/>
      <c r="F40" s="23">
        <v>3</v>
      </c>
      <c r="G40" s="24"/>
      <c r="H40" s="25"/>
      <c r="I40" s="26"/>
      <c r="J40" s="27"/>
      <c r="K40" s="28"/>
      <c r="L40" s="15"/>
      <c r="M40" s="16"/>
      <c r="N40" s="15"/>
      <c r="O40" s="16"/>
      <c r="P40" s="30"/>
    </row>
    <row r="41" spans="1:16">
      <c r="A41" s="18" t="str">
        <f t="shared" si="2"/>
        <v>20260706-037</v>
      </c>
      <c r="B41" s="19">
        <f t="shared" si="3"/>
        <v>46209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20260706-038</v>
      </c>
      <c r="B42" s="19">
        <f t="shared" si="3"/>
        <v>46209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20260706-039</v>
      </c>
      <c r="B43" s="19">
        <f t="shared" si="3"/>
        <v>46209</v>
      </c>
      <c r="C43" s="20" t="s">
        <v>64</v>
      </c>
      <c r="D43" s="31"/>
      <c r="E43" s="22">
        <v>1</v>
      </c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20260706-040</v>
      </c>
      <c r="B44" s="19">
        <f t="shared" si="3"/>
        <v>46209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20260706-041</v>
      </c>
      <c r="B45" s="19">
        <f t="shared" si="3"/>
        <v>46209</v>
      </c>
      <c r="C45" s="20" t="s">
        <v>66</v>
      </c>
      <c r="D45" s="31"/>
      <c r="E45" s="22"/>
      <c r="F45" s="23"/>
      <c r="G45" s="24">
        <v>1</v>
      </c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20260706-042</v>
      </c>
      <c r="B46" s="19">
        <f t="shared" si="3"/>
        <v>46209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20260706-043</v>
      </c>
      <c r="B47" s="19">
        <f t="shared" si="3"/>
        <v>46209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20260706-044</v>
      </c>
      <c r="B48" s="19">
        <f t="shared" si="3"/>
        <v>46209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20260706-045</v>
      </c>
      <c r="B49" s="19">
        <f t="shared" si="3"/>
        <v>46209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20260706-046</v>
      </c>
      <c r="B50" s="19">
        <f t="shared" si="3"/>
        <v>46209</v>
      </c>
      <c r="C50" s="20" t="s">
        <v>71</v>
      </c>
      <c r="D50" s="21"/>
      <c r="E50" s="22">
        <v>1</v>
      </c>
      <c r="F50" s="23"/>
      <c r="G50" s="24"/>
      <c r="H50" s="25"/>
      <c r="I50" s="26"/>
      <c r="J50" s="27"/>
      <c r="K50" s="28">
        <v>1</v>
      </c>
      <c r="L50" s="15"/>
      <c r="M50" s="16"/>
      <c r="N50" s="15"/>
      <c r="O50" s="16"/>
      <c r="P50" s="30"/>
    </row>
    <row r="51" spans="1:16">
      <c r="A51" s="18" t="str">
        <f t="shared" si="2"/>
        <v>20260706-047</v>
      </c>
      <c r="B51" s="19">
        <f t="shared" si="3"/>
        <v>46209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20260706-048</v>
      </c>
      <c r="B52" s="19">
        <f t="shared" si="3"/>
        <v>46209</v>
      </c>
      <c r="C52" s="20" t="s">
        <v>73</v>
      </c>
      <c r="D52" s="21"/>
      <c r="E52" s="22"/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20260706-049</v>
      </c>
      <c r="B53" s="19">
        <f t="shared" si="3"/>
        <v>46209</v>
      </c>
      <c r="C53" s="20" t="s">
        <v>74</v>
      </c>
      <c r="D53" s="31"/>
      <c r="E53" s="22"/>
      <c r="F53" s="23"/>
      <c r="G53" s="24"/>
      <c r="H53" s="25">
        <v>3</v>
      </c>
      <c r="I53" s="26">
        <v>5</v>
      </c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20260706-050</v>
      </c>
      <c r="B54" s="19">
        <f t="shared" si="3"/>
        <v>46209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20260706-051</v>
      </c>
      <c r="B55" s="19">
        <f t="shared" si="3"/>
        <v>46209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20260706-052</v>
      </c>
      <c r="B56" s="19">
        <f t="shared" si="3"/>
        <v>46209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20260706-053</v>
      </c>
      <c r="B57" s="19">
        <f t="shared" si="3"/>
        <v>46209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20260706-054</v>
      </c>
      <c r="B58" s="19">
        <f t="shared" si="3"/>
        <v>46209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20260706-055</v>
      </c>
      <c r="B59" s="19">
        <f t="shared" si="3"/>
        <v>46209</v>
      </c>
      <c r="C59" s="20" t="s">
        <v>80</v>
      </c>
      <c r="D59" s="31"/>
      <c r="E59" s="22">
        <v>1</v>
      </c>
      <c r="F59" s="23"/>
      <c r="G59" s="24">
        <v>1</v>
      </c>
      <c r="H59" s="25"/>
      <c r="I59" s="26"/>
      <c r="J59" s="27"/>
      <c r="K59" s="28">
        <v>3</v>
      </c>
      <c r="L59" s="15"/>
      <c r="M59" s="16"/>
      <c r="N59" s="15"/>
      <c r="O59" s="16"/>
      <c r="P59" s="17"/>
    </row>
    <row r="60" spans="1:16">
      <c r="A60" s="18" t="str">
        <f t="shared" si="2"/>
        <v>20260706-056</v>
      </c>
      <c r="B60" s="19">
        <f t="shared" si="3"/>
        <v>46209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20260706-057</v>
      </c>
      <c r="B61" s="19">
        <f t="shared" si="3"/>
        <v>46209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20260706-058</v>
      </c>
      <c r="B62" s="19">
        <f t="shared" si="3"/>
        <v>46209</v>
      </c>
      <c r="C62" s="20" t="s">
        <v>83</v>
      </c>
      <c r="D62" s="31"/>
      <c r="E62" s="22"/>
      <c r="F62" s="23"/>
      <c r="G62" s="24"/>
      <c r="H62" s="25">
        <v>20</v>
      </c>
      <c r="I62" s="26">
        <v>10</v>
      </c>
      <c r="J62" s="27">
        <v>7</v>
      </c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20260706-059</v>
      </c>
      <c r="B63" s="19">
        <f t="shared" si="3"/>
        <v>46209</v>
      </c>
      <c r="C63" s="20" t="s">
        <v>84</v>
      </c>
      <c r="D63" s="21">
        <v>10</v>
      </c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20260706-060</v>
      </c>
      <c r="B64" s="19">
        <f t="shared" si="3"/>
        <v>46209</v>
      </c>
      <c r="C64" s="20" t="s">
        <v>85</v>
      </c>
      <c r="D64" s="31">
        <v>10</v>
      </c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20260706-061</v>
      </c>
      <c r="B65" s="19">
        <f t="shared" si="3"/>
        <v>46209</v>
      </c>
      <c r="C65" s="20" t="s">
        <v>86</v>
      </c>
      <c r="D65" s="21">
        <v>30</v>
      </c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20260706-062</v>
      </c>
      <c r="B66" s="19">
        <f t="shared" si="3"/>
        <v>46209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20260706-063</v>
      </c>
      <c r="B67" s="19">
        <f t="shared" si="3"/>
        <v>46209</v>
      </c>
      <c r="C67" s="20" t="s">
        <v>88</v>
      </c>
      <c r="D67" s="21"/>
      <c r="E67" s="22"/>
      <c r="F67" s="23"/>
      <c r="G67" s="24"/>
      <c r="H67" s="25">
        <v>5</v>
      </c>
      <c r="I67" s="26">
        <v>7</v>
      </c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20260706-064</v>
      </c>
      <c r="B68" s="19">
        <f t="shared" si="3"/>
        <v>46209</v>
      </c>
      <c r="C68" s="20" t="s">
        <v>89</v>
      </c>
      <c r="D68" s="31"/>
      <c r="E68" s="22">
        <v>3</v>
      </c>
      <c r="F68" s="23"/>
      <c r="G68" s="24"/>
      <c r="H68" s="25"/>
      <c r="I68" s="26"/>
      <c r="J68" s="27"/>
      <c r="K68" s="28">
        <v>4</v>
      </c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20260706-065</v>
      </c>
      <c r="B69" s="19">
        <f t="shared" si="3"/>
        <v>46209</v>
      </c>
      <c r="C69" s="20" t="s">
        <v>90</v>
      </c>
      <c r="D69" s="21"/>
      <c r="E69" s="22"/>
      <c r="F69" s="23"/>
      <c r="G69" s="24"/>
      <c r="H69" s="25">
        <v>2</v>
      </c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20260706-066</v>
      </c>
      <c r="B70" s="19">
        <f t="shared" ref="B70:B80" si="5">$B$5</f>
        <v>46209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20260706-067</v>
      </c>
      <c r="B71" s="19">
        <f t="shared" si="5"/>
        <v>46209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20260706-068</v>
      </c>
      <c r="B72" s="19">
        <f t="shared" si="5"/>
        <v>46209</v>
      </c>
      <c r="C72" s="20" t="s">
        <v>93</v>
      </c>
      <c r="D72" s="31"/>
      <c r="E72" s="22">
        <v>1</v>
      </c>
      <c r="F72" s="23"/>
      <c r="G72" s="24"/>
      <c r="H72" s="25"/>
      <c r="I72" s="26"/>
      <c r="J72" s="27"/>
      <c r="K72" s="28"/>
      <c r="L72" s="15"/>
      <c r="M72" s="16"/>
      <c r="N72" s="15"/>
      <c r="O72" s="16"/>
      <c r="P72" s="17"/>
    </row>
    <row r="73" spans="1:16">
      <c r="A73" s="18" t="str">
        <f t="shared" si="4"/>
        <v>20260706-069</v>
      </c>
      <c r="B73" s="19">
        <f t="shared" si="5"/>
        <v>46209</v>
      </c>
      <c r="C73" s="20" t="s">
        <v>94</v>
      </c>
      <c r="D73" s="21"/>
      <c r="E73" s="22">
        <v>1</v>
      </c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20260706-070</v>
      </c>
      <c r="B74" s="19">
        <f t="shared" si="5"/>
        <v>46209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2</v>
      </c>
      <c r="M74" s="16"/>
      <c r="N74" s="15"/>
      <c r="O74" s="16"/>
    </row>
    <row r="75" spans="1:16">
      <c r="A75" s="18" t="str">
        <f t="shared" si="4"/>
        <v>20260706-071</v>
      </c>
      <c r="B75" s="19">
        <f t="shared" si="5"/>
        <v>46209</v>
      </c>
      <c r="C75" s="20" t="s">
        <v>96</v>
      </c>
      <c r="D75" s="21"/>
      <c r="E75" s="22"/>
      <c r="F75" s="23"/>
      <c r="G75" s="24">
        <v>2</v>
      </c>
      <c r="H75" s="25"/>
      <c r="I75" s="26"/>
      <c r="J75" s="27"/>
      <c r="K75" s="28">
        <v>3</v>
      </c>
      <c r="L75" s="15"/>
      <c r="M75" s="16"/>
      <c r="N75" s="15"/>
      <c r="O75" s="16"/>
      <c r="P75" s="30"/>
    </row>
    <row r="76" spans="1:16">
      <c r="A76" s="18" t="str">
        <f t="shared" si="4"/>
        <v>20260706-072</v>
      </c>
      <c r="B76" s="19">
        <f t="shared" si="5"/>
        <v>46209</v>
      </c>
      <c r="C76" s="20" t="s">
        <v>97</v>
      </c>
      <c r="D76" s="31"/>
      <c r="E76" s="22"/>
      <c r="F76" s="23"/>
      <c r="G76" s="24"/>
      <c r="H76" s="25"/>
      <c r="I76" s="26"/>
      <c r="J76" s="27"/>
      <c r="K76" s="28"/>
      <c r="L76" s="15"/>
      <c r="M76" s="16"/>
      <c r="N76" s="15"/>
      <c r="O76" s="16"/>
    </row>
    <row r="77" spans="1:16">
      <c r="A77" s="18" t="str">
        <f t="shared" si="4"/>
        <v>20260706-073</v>
      </c>
      <c r="B77" s="19">
        <f t="shared" si="5"/>
        <v>46209</v>
      </c>
      <c r="C77" s="20" t="s">
        <v>98</v>
      </c>
      <c r="D77" s="21"/>
      <c r="E77" s="22"/>
      <c r="F77" s="23"/>
      <c r="G77" s="24">
        <v>2</v>
      </c>
      <c r="H77" s="25"/>
      <c r="I77" s="26"/>
      <c r="J77" s="27"/>
      <c r="K77" s="28"/>
      <c r="L77" s="34">
        <v>2</v>
      </c>
      <c r="M77" s="16"/>
      <c r="N77" s="15"/>
      <c r="O77" s="16"/>
      <c r="P77" s="30"/>
    </row>
    <row r="78" spans="1:16">
      <c r="A78" s="18" t="str">
        <f t="shared" si="4"/>
        <v>20260706-074</v>
      </c>
      <c r="B78" s="19">
        <f t="shared" si="5"/>
        <v>46209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20260706-075</v>
      </c>
      <c r="B79" s="19">
        <f t="shared" si="5"/>
        <v>46209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20260706-076</v>
      </c>
      <c r="B80" s="19">
        <f t="shared" si="5"/>
        <v>46209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0"/>
  <sheetViews>
    <sheetView topLeftCell="B60" zoomScale="70" zoomScaleNormal="70" workbookViewId="0">
      <selection activeCell="C14" sqref="C1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20260707-001</v>
      </c>
      <c r="B5" s="5">
        <v>46210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20260707-002</v>
      </c>
      <c r="B6" s="19">
        <f t="shared" ref="B6:B37" si="1">$B$5</f>
        <v>46210</v>
      </c>
      <c r="C6" s="20" t="s">
        <v>28</v>
      </c>
      <c r="D6" s="21">
        <v>5</v>
      </c>
      <c r="E6" s="22">
        <v>3</v>
      </c>
      <c r="F6" s="23"/>
      <c r="G6" s="24">
        <v>7</v>
      </c>
      <c r="H6" s="25"/>
      <c r="I6" s="26"/>
      <c r="J6" s="27"/>
      <c r="K6" s="28">
        <v>14</v>
      </c>
      <c r="L6" s="15"/>
      <c r="M6" s="29"/>
      <c r="N6" s="15"/>
      <c r="O6" s="29"/>
      <c r="P6" s="30"/>
    </row>
    <row r="7" spans="1:16">
      <c r="A7" s="18" t="str">
        <f t="shared" si="0"/>
        <v>20260707-003</v>
      </c>
      <c r="B7" s="19">
        <f t="shared" si="1"/>
        <v>46210</v>
      </c>
      <c r="C7" s="20" t="s">
        <v>29</v>
      </c>
      <c r="D7" s="31"/>
      <c r="E7" s="22"/>
      <c r="F7" s="23"/>
      <c r="G7" s="24"/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20260707-004</v>
      </c>
      <c r="B8" s="19">
        <f t="shared" si="1"/>
        <v>46210</v>
      </c>
      <c r="C8" s="20" t="s">
        <v>30</v>
      </c>
      <c r="D8" s="21"/>
      <c r="E8" s="22">
        <v>4</v>
      </c>
      <c r="F8" s="23"/>
      <c r="G8" s="24">
        <v>3</v>
      </c>
      <c r="H8" s="25"/>
      <c r="I8" s="26"/>
      <c r="J8" s="27"/>
      <c r="K8" s="28">
        <v>7</v>
      </c>
      <c r="L8" s="15"/>
      <c r="M8" s="16"/>
      <c r="N8" s="15"/>
      <c r="O8" s="16"/>
      <c r="P8" s="30"/>
    </row>
    <row r="9" spans="1:16">
      <c r="A9" s="18" t="str">
        <f t="shared" si="0"/>
        <v>20260707-005</v>
      </c>
      <c r="B9" s="19">
        <f t="shared" si="1"/>
        <v>46210</v>
      </c>
      <c r="C9" s="20" t="s">
        <v>31</v>
      </c>
      <c r="D9" s="31"/>
      <c r="E9" s="22"/>
      <c r="F9" s="23"/>
      <c r="G9" s="24">
        <v>1</v>
      </c>
      <c r="H9" s="25"/>
      <c r="I9" s="26"/>
      <c r="J9" s="27"/>
      <c r="K9" s="28">
        <v>2</v>
      </c>
      <c r="L9" s="15"/>
      <c r="M9" s="29"/>
      <c r="N9" s="15"/>
      <c r="O9" s="29"/>
      <c r="P9" s="17"/>
    </row>
    <row r="10" spans="1:16">
      <c r="A10" s="18" t="str">
        <f t="shared" si="0"/>
        <v>20260707-006</v>
      </c>
      <c r="B10" s="19">
        <f t="shared" si="1"/>
        <v>46210</v>
      </c>
      <c r="C10" s="20" t="s">
        <v>32</v>
      </c>
      <c r="D10" s="21"/>
      <c r="E10" s="22"/>
      <c r="F10" s="23"/>
      <c r="G10" s="24"/>
      <c r="H10" s="25"/>
      <c r="I10" s="26"/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20260707-007</v>
      </c>
      <c r="B11" s="19">
        <f t="shared" si="1"/>
        <v>46210</v>
      </c>
      <c r="C11" s="20" t="s">
        <v>33</v>
      </c>
      <c r="D11" s="31"/>
      <c r="E11" s="22"/>
      <c r="F11" s="23"/>
      <c r="G11" s="24"/>
      <c r="H11" s="25">
        <v>20</v>
      </c>
      <c r="I11" s="26">
        <v>10</v>
      </c>
      <c r="J11" s="27">
        <v>5</v>
      </c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20260707-008</v>
      </c>
      <c r="B12" s="19">
        <f t="shared" si="1"/>
        <v>46210</v>
      </c>
      <c r="C12" s="33" t="s">
        <v>34</v>
      </c>
      <c r="D12" s="21"/>
      <c r="E12" s="22">
        <v>4</v>
      </c>
      <c r="F12" s="23"/>
      <c r="G12" s="24">
        <v>5</v>
      </c>
      <c r="H12" s="25"/>
      <c r="I12" s="26"/>
      <c r="J12" s="27"/>
      <c r="K12" s="28"/>
      <c r="L12" s="15"/>
      <c r="M12" s="16"/>
      <c r="N12" s="15"/>
      <c r="O12" s="16"/>
      <c r="P12" s="30"/>
    </row>
    <row r="13" spans="1:16">
      <c r="A13" s="18" t="str">
        <f t="shared" si="0"/>
        <v>20260707-009</v>
      </c>
      <c r="B13" s="19">
        <f t="shared" si="1"/>
        <v>46210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20260707-010</v>
      </c>
      <c r="B14" s="19">
        <f t="shared" si="1"/>
        <v>46210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20260707-011</v>
      </c>
      <c r="B15" s="19">
        <f t="shared" si="1"/>
        <v>46210</v>
      </c>
      <c r="C15" s="33" t="s">
        <v>36</v>
      </c>
      <c r="D15" s="31"/>
      <c r="E15" s="22"/>
      <c r="F15" s="23"/>
      <c r="G15" s="24"/>
      <c r="H15" s="25">
        <v>13</v>
      </c>
      <c r="I15" s="26">
        <v>4</v>
      </c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20260707-012</v>
      </c>
      <c r="B16" s="19">
        <f t="shared" si="1"/>
        <v>46210</v>
      </c>
      <c r="C16" s="20" t="s">
        <v>37</v>
      </c>
      <c r="D16" s="21"/>
      <c r="E16" s="22"/>
      <c r="F16" s="23"/>
      <c r="G16" s="24"/>
      <c r="H16" s="25"/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20260707-013</v>
      </c>
      <c r="B17" s="19">
        <f t="shared" si="1"/>
        <v>46210</v>
      </c>
      <c r="C17" s="20" t="s">
        <v>38</v>
      </c>
      <c r="D17" s="31"/>
      <c r="E17" s="22"/>
      <c r="F17" s="23"/>
      <c r="G17" s="24"/>
      <c r="H17" s="25">
        <v>1</v>
      </c>
      <c r="I17" s="26"/>
      <c r="J17" s="27">
        <v>1</v>
      </c>
      <c r="K17" s="28"/>
      <c r="L17" s="15"/>
      <c r="M17" s="16"/>
      <c r="N17" s="15"/>
      <c r="O17" s="16"/>
      <c r="P17" s="17"/>
    </row>
    <row r="18" spans="1:16">
      <c r="A18" s="18" t="str">
        <f t="shared" si="0"/>
        <v>20260707-014</v>
      </c>
      <c r="B18" s="19">
        <f t="shared" si="1"/>
        <v>46210</v>
      </c>
      <c r="C18" s="20" t="s">
        <v>39</v>
      </c>
      <c r="D18" s="21"/>
      <c r="E18" s="22"/>
      <c r="F18" s="23"/>
      <c r="G18" s="24"/>
      <c r="H18" s="25"/>
      <c r="I18" s="26"/>
      <c r="J18" s="27"/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20260707-015</v>
      </c>
      <c r="B19" s="19">
        <f t="shared" si="1"/>
        <v>46210</v>
      </c>
      <c r="C19" s="20" t="s">
        <v>40</v>
      </c>
      <c r="D19" s="31"/>
      <c r="E19" s="22">
        <v>2</v>
      </c>
      <c r="F19" s="23"/>
      <c r="G19" s="24"/>
      <c r="H19" s="25"/>
      <c r="I19" s="26">
        <v>3</v>
      </c>
      <c r="J19" s="27"/>
      <c r="K19" s="28"/>
      <c r="L19" s="15"/>
      <c r="M19" s="16"/>
      <c r="N19" s="15"/>
      <c r="O19" s="16"/>
      <c r="P19" s="17"/>
    </row>
    <row r="20" spans="1:16">
      <c r="A20" s="18" t="str">
        <f t="shared" si="0"/>
        <v>20260707-016</v>
      </c>
      <c r="B20" s="19">
        <f t="shared" si="1"/>
        <v>46210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20260707-017</v>
      </c>
      <c r="B21" s="19">
        <f t="shared" si="1"/>
        <v>46210</v>
      </c>
      <c r="C21" s="20" t="s">
        <v>42</v>
      </c>
      <c r="D21" s="31"/>
      <c r="E21" s="22">
        <v>1</v>
      </c>
      <c r="F21" s="23"/>
      <c r="G21" s="24">
        <v>1</v>
      </c>
      <c r="H21" s="25"/>
      <c r="I21" s="26"/>
      <c r="J21" s="27"/>
      <c r="K21" s="28">
        <v>5</v>
      </c>
      <c r="L21" s="15"/>
      <c r="M21" s="16"/>
      <c r="N21" s="15"/>
      <c r="O21" s="16"/>
      <c r="P21" s="17"/>
    </row>
    <row r="22" spans="1:16">
      <c r="A22" s="18" t="str">
        <f t="shared" si="0"/>
        <v>20260707-018</v>
      </c>
      <c r="B22" s="19">
        <f t="shared" si="1"/>
        <v>46210</v>
      </c>
      <c r="C22" s="20" t="s">
        <v>43</v>
      </c>
      <c r="D22" s="21"/>
      <c r="E22" s="22">
        <v>1</v>
      </c>
      <c r="F22" s="23"/>
      <c r="G22" s="24"/>
      <c r="H22" s="25">
        <v>4</v>
      </c>
      <c r="I22" s="26">
        <v>8</v>
      </c>
      <c r="J22" s="27"/>
      <c r="K22" s="28">
        <v>2</v>
      </c>
      <c r="L22" s="15"/>
      <c r="M22" s="16"/>
      <c r="N22" s="15"/>
      <c r="O22" s="16"/>
      <c r="P22" s="30"/>
    </row>
    <row r="23" spans="1:16">
      <c r="A23" s="18" t="str">
        <f t="shared" si="0"/>
        <v>20260707-019</v>
      </c>
      <c r="B23" s="19">
        <f t="shared" si="1"/>
        <v>46210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20260707-020</v>
      </c>
      <c r="B24" s="19">
        <f t="shared" si="1"/>
        <v>46210</v>
      </c>
      <c r="C24" s="20" t="s">
        <v>45</v>
      </c>
      <c r="D24" s="21">
        <v>15</v>
      </c>
      <c r="E24" s="22"/>
      <c r="F24" s="23"/>
      <c r="G24" s="24"/>
      <c r="H24" s="25"/>
      <c r="I24" s="26">
        <v>3</v>
      </c>
      <c r="J24" s="27"/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20260707-021</v>
      </c>
      <c r="B25" s="19">
        <f t="shared" si="1"/>
        <v>46210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20260707-022</v>
      </c>
      <c r="B26" s="19">
        <f t="shared" si="1"/>
        <v>46210</v>
      </c>
      <c r="C26" s="20" t="s">
        <v>47</v>
      </c>
      <c r="D26" s="21"/>
      <c r="E26" s="22"/>
      <c r="F26" s="23"/>
      <c r="G26" s="24"/>
      <c r="H26" s="25"/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20260707-023</v>
      </c>
      <c r="B27" s="19">
        <f t="shared" si="1"/>
        <v>46210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20260707-024</v>
      </c>
      <c r="B28" s="19">
        <f t="shared" si="1"/>
        <v>46210</v>
      </c>
      <c r="C28" s="20" t="s">
        <v>49</v>
      </c>
      <c r="D28" s="21"/>
      <c r="E28" s="22"/>
      <c r="F28" s="23"/>
      <c r="G28" s="24">
        <v>1</v>
      </c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20260707-025</v>
      </c>
      <c r="B29" s="19">
        <f t="shared" si="1"/>
        <v>46210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20260707-026</v>
      </c>
      <c r="B30" s="19">
        <f t="shared" si="1"/>
        <v>46210</v>
      </c>
      <c r="C30" s="20" t="s">
        <v>51</v>
      </c>
      <c r="D30" s="21"/>
      <c r="E30" s="22">
        <v>1</v>
      </c>
      <c r="F30" s="23"/>
      <c r="G30" s="24">
        <v>1</v>
      </c>
      <c r="H30" s="25"/>
      <c r="I30" s="26"/>
      <c r="J30" s="27"/>
      <c r="K30" s="28">
        <v>2</v>
      </c>
      <c r="L30" s="15"/>
      <c r="M30" s="16"/>
      <c r="N30" s="15"/>
      <c r="O30" s="16"/>
      <c r="P30" s="30"/>
    </row>
    <row r="31" spans="1:16">
      <c r="A31" s="18" t="str">
        <f t="shared" si="0"/>
        <v>20260707-027</v>
      </c>
      <c r="B31" s="19">
        <f t="shared" si="1"/>
        <v>46210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20260707-028</v>
      </c>
      <c r="B32" s="19">
        <f t="shared" si="1"/>
        <v>46210</v>
      </c>
      <c r="C32" s="20" t="s">
        <v>53</v>
      </c>
      <c r="D32" s="21"/>
      <c r="E32" s="22"/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20260707-029</v>
      </c>
      <c r="B33" s="19">
        <f t="shared" si="1"/>
        <v>46210</v>
      </c>
      <c r="C33" s="20" t="s">
        <v>54</v>
      </c>
      <c r="D33" s="31"/>
      <c r="E33" s="22"/>
      <c r="F33" s="23"/>
      <c r="G33" s="24">
        <v>2</v>
      </c>
      <c r="H33" s="25"/>
      <c r="I33" s="26"/>
      <c r="J33" s="27"/>
      <c r="K33" s="28">
        <v>7</v>
      </c>
      <c r="L33" s="15"/>
      <c r="M33" s="16"/>
      <c r="N33" s="15"/>
      <c r="O33" s="16"/>
      <c r="P33" s="17"/>
    </row>
    <row r="34" spans="1:16">
      <c r="A34" s="18" t="str">
        <f t="shared" si="0"/>
        <v>20260707-030</v>
      </c>
      <c r="B34" s="19">
        <f t="shared" si="1"/>
        <v>46210</v>
      </c>
      <c r="C34" s="20" t="s">
        <v>55</v>
      </c>
      <c r="D34" s="21"/>
      <c r="E34" s="22"/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20260707-031</v>
      </c>
      <c r="B35" s="19">
        <f t="shared" si="1"/>
        <v>46210</v>
      </c>
      <c r="C35" s="20" t="s">
        <v>56</v>
      </c>
      <c r="D35" s="31">
        <v>10</v>
      </c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20260707-032</v>
      </c>
      <c r="B36" s="19">
        <f t="shared" si="1"/>
        <v>46210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20260707-033</v>
      </c>
      <c r="B37" s="19">
        <f t="shared" si="1"/>
        <v>46210</v>
      </c>
      <c r="C37" s="20" t="s">
        <v>58</v>
      </c>
      <c r="D37" s="31">
        <v>20</v>
      </c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20260707-034</v>
      </c>
      <c r="B38" s="19">
        <f t="shared" ref="B38:B69" si="3">$B$5</f>
        <v>46210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20260707-035</v>
      </c>
      <c r="B39" s="19">
        <f t="shared" si="3"/>
        <v>46210</v>
      </c>
      <c r="C39" s="20" t="s">
        <v>60</v>
      </c>
      <c r="D39" s="31"/>
      <c r="E39" s="22"/>
      <c r="F39" s="23"/>
      <c r="G39" s="24"/>
      <c r="H39" s="25"/>
      <c r="I39" s="26"/>
      <c r="J39" s="27"/>
      <c r="K39" s="28"/>
      <c r="L39" s="15"/>
      <c r="M39" s="16"/>
      <c r="N39" s="15"/>
      <c r="O39" s="16"/>
      <c r="P39" s="17"/>
    </row>
    <row r="40" spans="1:16">
      <c r="A40" s="18" t="str">
        <f t="shared" si="2"/>
        <v>20260707-036</v>
      </c>
      <c r="B40" s="19">
        <f t="shared" si="3"/>
        <v>46210</v>
      </c>
      <c r="C40" s="20" t="s">
        <v>61</v>
      </c>
      <c r="D40" s="21"/>
      <c r="E40" s="22"/>
      <c r="F40" s="23"/>
      <c r="G40" s="24"/>
      <c r="H40" s="25"/>
      <c r="I40" s="26"/>
      <c r="J40" s="27"/>
      <c r="K40" s="28"/>
      <c r="L40" s="15"/>
      <c r="M40" s="16"/>
      <c r="N40" s="15"/>
      <c r="O40" s="16"/>
      <c r="P40" s="30"/>
    </row>
    <row r="41" spans="1:16">
      <c r="A41" s="18" t="str">
        <f t="shared" si="2"/>
        <v>20260707-037</v>
      </c>
      <c r="B41" s="19">
        <f t="shared" si="3"/>
        <v>46210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20260707-038</v>
      </c>
      <c r="B42" s="19">
        <f t="shared" si="3"/>
        <v>46210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20260707-039</v>
      </c>
      <c r="B43" s="19">
        <f t="shared" si="3"/>
        <v>46210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20260707-040</v>
      </c>
      <c r="B44" s="19">
        <f t="shared" si="3"/>
        <v>46210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20260707-041</v>
      </c>
      <c r="B45" s="19">
        <f t="shared" si="3"/>
        <v>46210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20260707-042</v>
      </c>
      <c r="B46" s="19">
        <f t="shared" si="3"/>
        <v>46210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20260707-043</v>
      </c>
      <c r="B47" s="19">
        <f t="shared" si="3"/>
        <v>46210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20260707-044</v>
      </c>
      <c r="B48" s="19">
        <f t="shared" si="3"/>
        <v>46210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20260707-045</v>
      </c>
      <c r="B49" s="19">
        <f t="shared" si="3"/>
        <v>46210</v>
      </c>
      <c r="C49" s="20" t="s">
        <v>70</v>
      </c>
      <c r="D49" s="31"/>
      <c r="E49" s="22">
        <v>1</v>
      </c>
      <c r="F49" s="23"/>
      <c r="G49" s="24"/>
      <c r="H49" s="25"/>
      <c r="I49" s="26"/>
      <c r="J49" s="27"/>
      <c r="K49" s="28">
        <v>1</v>
      </c>
      <c r="L49" s="15"/>
      <c r="M49" s="16"/>
      <c r="N49" s="15"/>
      <c r="O49" s="16"/>
      <c r="P49" s="17"/>
    </row>
    <row r="50" spans="1:16">
      <c r="A50" s="18" t="str">
        <f t="shared" si="2"/>
        <v>20260707-046</v>
      </c>
      <c r="B50" s="19">
        <f t="shared" si="3"/>
        <v>46210</v>
      </c>
      <c r="C50" s="20" t="s">
        <v>71</v>
      </c>
      <c r="D50" s="21"/>
      <c r="E50" s="22"/>
      <c r="F50" s="23"/>
      <c r="G50" s="24"/>
      <c r="H50" s="25"/>
      <c r="I50" s="26"/>
      <c r="J50" s="27"/>
      <c r="K50" s="28"/>
      <c r="L50" s="15"/>
      <c r="M50" s="16"/>
      <c r="N50" s="15"/>
      <c r="O50" s="16"/>
      <c r="P50" s="30"/>
    </row>
    <row r="51" spans="1:16">
      <c r="A51" s="18" t="str">
        <f t="shared" si="2"/>
        <v>20260707-047</v>
      </c>
      <c r="B51" s="19">
        <f t="shared" si="3"/>
        <v>46210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20260707-048</v>
      </c>
      <c r="B52" s="19">
        <f t="shared" si="3"/>
        <v>46210</v>
      </c>
      <c r="C52" s="20" t="s">
        <v>73</v>
      </c>
      <c r="D52" s="21"/>
      <c r="E52" s="22"/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20260707-049</v>
      </c>
      <c r="B53" s="19">
        <f t="shared" si="3"/>
        <v>46210</v>
      </c>
      <c r="C53" s="20" t="s">
        <v>74</v>
      </c>
      <c r="D53" s="31"/>
      <c r="E53" s="22"/>
      <c r="F53" s="23"/>
      <c r="G53" s="24"/>
      <c r="H53" s="25"/>
      <c r="I53" s="26"/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20260707-050</v>
      </c>
      <c r="B54" s="19">
        <f t="shared" si="3"/>
        <v>46210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20260707-051</v>
      </c>
      <c r="B55" s="19">
        <f t="shared" si="3"/>
        <v>46210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20260707-052</v>
      </c>
      <c r="B56" s="19">
        <f t="shared" si="3"/>
        <v>46210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20260707-053</v>
      </c>
      <c r="B57" s="19">
        <f t="shared" si="3"/>
        <v>46210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20260707-054</v>
      </c>
      <c r="B58" s="19">
        <f t="shared" si="3"/>
        <v>46210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20260707-055</v>
      </c>
      <c r="B59" s="19">
        <f t="shared" si="3"/>
        <v>46210</v>
      </c>
      <c r="C59" s="20" t="s">
        <v>80</v>
      </c>
      <c r="D59" s="31"/>
      <c r="E59" s="22">
        <v>1</v>
      </c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20260707-056</v>
      </c>
      <c r="B60" s="19">
        <f t="shared" si="3"/>
        <v>46210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20260707-057</v>
      </c>
      <c r="B61" s="19">
        <f t="shared" si="3"/>
        <v>46210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20260707-058</v>
      </c>
      <c r="B62" s="19">
        <f t="shared" si="3"/>
        <v>46210</v>
      </c>
      <c r="C62" s="20" t="s">
        <v>83</v>
      </c>
      <c r="D62" s="31"/>
      <c r="E62" s="22"/>
      <c r="F62" s="23"/>
      <c r="G62" s="24"/>
      <c r="H62" s="25">
        <v>4</v>
      </c>
      <c r="I62" s="26">
        <v>7</v>
      </c>
      <c r="J62" s="27">
        <v>10</v>
      </c>
      <c r="K62" s="28">
        <v>5</v>
      </c>
      <c r="L62" s="15"/>
      <c r="M62" s="16"/>
      <c r="N62" s="15"/>
      <c r="O62" s="16"/>
      <c r="P62" s="17"/>
    </row>
    <row r="63" spans="1:16">
      <c r="A63" s="18" t="str">
        <f t="shared" si="2"/>
        <v>20260707-059</v>
      </c>
      <c r="B63" s="19">
        <f t="shared" si="3"/>
        <v>46210</v>
      </c>
      <c r="C63" s="20" t="s">
        <v>84</v>
      </c>
      <c r="D63" s="21"/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20260707-060</v>
      </c>
      <c r="B64" s="19">
        <f t="shared" si="3"/>
        <v>46210</v>
      </c>
      <c r="C64" s="20" t="s">
        <v>85</v>
      </c>
      <c r="D64" s="31"/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20260707-061</v>
      </c>
      <c r="B65" s="19">
        <f t="shared" si="3"/>
        <v>46210</v>
      </c>
      <c r="C65" s="20" t="s">
        <v>86</v>
      </c>
      <c r="D65" s="21"/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20260707-062</v>
      </c>
      <c r="B66" s="19">
        <f t="shared" si="3"/>
        <v>46210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20260707-063</v>
      </c>
      <c r="B67" s="19">
        <f t="shared" si="3"/>
        <v>46210</v>
      </c>
      <c r="C67" s="20" t="s">
        <v>88</v>
      </c>
      <c r="D67" s="21"/>
      <c r="E67" s="22"/>
      <c r="F67" s="23"/>
      <c r="G67" s="24"/>
      <c r="H67" s="25"/>
      <c r="I67" s="26"/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20260707-064</v>
      </c>
      <c r="B68" s="19">
        <f t="shared" si="3"/>
        <v>46210</v>
      </c>
      <c r="C68" s="20" t="s">
        <v>89</v>
      </c>
      <c r="D68" s="31"/>
      <c r="E68" s="22"/>
      <c r="F68" s="23"/>
      <c r="G68" s="24"/>
      <c r="H68" s="25"/>
      <c r="I68" s="26"/>
      <c r="J68" s="27"/>
      <c r="K68" s="28"/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20260707-065</v>
      </c>
      <c r="B69" s="19">
        <f t="shared" si="3"/>
        <v>46210</v>
      </c>
      <c r="C69" s="20" t="s">
        <v>90</v>
      </c>
      <c r="D69" s="21"/>
      <c r="E69" s="22"/>
      <c r="F69" s="23"/>
      <c r="G69" s="24"/>
      <c r="H69" s="25"/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20260707-066</v>
      </c>
      <c r="B70" s="19">
        <f t="shared" ref="B70:B80" si="5">$B$5</f>
        <v>46210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20260707-067</v>
      </c>
      <c r="B71" s="19">
        <f t="shared" si="5"/>
        <v>46210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20260707-068</v>
      </c>
      <c r="B72" s="19">
        <f t="shared" si="5"/>
        <v>46210</v>
      </c>
      <c r="C72" s="20" t="s">
        <v>93</v>
      </c>
      <c r="D72" s="31"/>
      <c r="E72" s="22">
        <v>2</v>
      </c>
      <c r="F72" s="23"/>
      <c r="G72" s="24"/>
      <c r="H72" s="25"/>
      <c r="I72" s="26"/>
      <c r="J72" s="27"/>
      <c r="K72" s="28">
        <v>2</v>
      </c>
      <c r="L72" s="15"/>
      <c r="M72" s="16"/>
      <c r="N72" s="15"/>
      <c r="O72" s="16"/>
      <c r="P72" s="17"/>
    </row>
    <row r="73" spans="1:16">
      <c r="A73" s="18" t="str">
        <f t="shared" si="4"/>
        <v>20260707-069</v>
      </c>
      <c r="B73" s="19">
        <f t="shared" si="5"/>
        <v>46210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20260707-070</v>
      </c>
      <c r="B74" s="19">
        <f t="shared" si="5"/>
        <v>46210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1</v>
      </c>
      <c r="M74" s="16">
        <v>7</v>
      </c>
      <c r="N74" s="15"/>
      <c r="O74" s="16"/>
    </row>
    <row r="75" spans="1:16">
      <c r="A75" s="18" t="str">
        <f t="shared" si="4"/>
        <v>20260707-071</v>
      </c>
      <c r="B75" s="19">
        <f t="shared" si="5"/>
        <v>46210</v>
      </c>
      <c r="C75" s="20" t="s">
        <v>96</v>
      </c>
      <c r="D75" s="21"/>
      <c r="E75" s="22"/>
      <c r="F75" s="23"/>
      <c r="G75" s="24">
        <v>1</v>
      </c>
      <c r="H75" s="25"/>
      <c r="I75" s="26"/>
      <c r="J75" s="27"/>
      <c r="K75" s="28">
        <v>1</v>
      </c>
      <c r="L75" s="15"/>
      <c r="M75" s="16"/>
      <c r="N75" s="15"/>
      <c r="O75" s="16"/>
      <c r="P75" s="30"/>
    </row>
    <row r="76" spans="1:16">
      <c r="A76" s="18" t="str">
        <f t="shared" si="4"/>
        <v>20260707-072</v>
      </c>
      <c r="B76" s="19">
        <f t="shared" si="5"/>
        <v>46210</v>
      </c>
      <c r="C76" s="20" t="s">
        <v>97</v>
      </c>
      <c r="D76" s="31"/>
      <c r="E76" s="22"/>
      <c r="F76" s="23"/>
      <c r="G76" s="24">
        <v>1</v>
      </c>
      <c r="H76" s="25"/>
      <c r="I76" s="26"/>
      <c r="J76" s="27"/>
      <c r="K76" s="28">
        <v>1</v>
      </c>
      <c r="L76" s="15"/>
      <c r="M76" s="16"/>
      <c r="N76" s="15"/>
      <c r="O76" s="16"/>
    </row>
    <row r="77" spans="1:16">
      <c r="A77" s="18" t="str">
        <f t="shared" si="4"/>
        <v>20260707-073</v>
      </c>
      <c r="B77" s="19">
        <f t="shared" si="5"/>
        <v>46210</v>
      </c>
      <c r="C77" s="20" t="s">
        <v>98</v>
      </c>
      <c r="D77" s="21"/>
      <c r="E77" s="22"/>
      <c r="F77" s="23"/>
      <c r="G77" s="24">
        <v>1</v>
      </c>
      <c r="H77" s="25"/>
      <c r="I77" s="26"/>
      <c r="J77" s="27"/>
      <c r="K77" s="28"/>
      <c r="L77" s="34">
        <v>1</v>
      </c>
      <c r="M77" s="16"/>
      <c r="N77" s="15"/>
      <c r="O77" s="16"/>
      <c r="P77" s="30"/>
    </row>
    <row r="78" spans="1:16">
      <c r="A78" s="18" t="str">
        <f t="shared" si="4"/>
        <v>20260707-074</v>
      </c>
      <c r="B78" s="19">
        <f t="shared" si="5"/>
        <v>46210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20260707-075</v>
      </c>
      <c r="B79" s="19">
        <f t="shared" si="5"/>
        <v>46210</v>
      </c>
      <c r="C79" s="20" t="s">
        <v>100</v>
      </c>
      <c r="D79" s="21"/>
      <c r="E79" s="22">
        <v>1</v>
      </c>
      <c r="F79" s="23"/>
      <c r="G79" s="24"/>
      <c r="H79" s="25"/>
      <c r="I79" s="26"/>
      <c r="J79" s="27"/>
      <c r="K79" s="28">
        <v>1</v>
      </c>
      <c r="L79" s="15"/>
      <c r="M79" s="16"/>
      <c r="N79" s="15"/>
      <c r="O79" s="16"/>
      <c r="P79" s="30"/>
    </row>
    <row r="80" spans="1:16">
      <c r="A80" s="18" t="str">
        <f t="shared" si="4"/>
        <v>20260707-076</v>
      </c>
      <c r="B80" s="19">
        <f t="shared" si="5"/>
        <v>46210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80"/>
  <sheetViews>
    <sheetView topLeftCell="B47" zoomScale="70" zoomScaleNormal="70" workbookViewId="0">
      <selection activeCell="C14" sqref="C1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20260708-001</v>
      </c>
      <c r="B5" s="5">
        <v>46211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20260708-002</v>
      </c>
      <c r="B6" s="19">
        <f t="shared" ref="B6:B37" si="1">$B$5</f>
        <v>46211</v>
      </c>
      <c r="C6" s="20" t="s">
        <v>28</v>
      </c>
      <c r="D6" s="21">
        <v>5</v>
      </c>
      <c r="E6" s="22">
        <v>3</v>
      </c>
      <c r="F6" s="23"/>
      <c r="G6" s="24">
        <v>7</v>
      </c>
      <c r="H6" s="25"/>
      <c r="I6" s="26"/>
      <c r="J6" s="27"/>
      <c r="K6" s="28">
        <v>9</v>
      </c>
      <c r="L6" s="15"/>
      <c r="M6" s="29"/>
      <c r="N6" s="15"/>
      <c r="O6" s="29"/>
      <c r="P6" s="30"/>
    </row>
    <row r="7" spans="1:16">
      <c r="A7" s="18" t="str">
        <f t="shared" si="0"/>
        <v>20260708-003</v>
      </c>
      <c r="B7" s="19">
        <f t="shared" si="1"/>
        <v>46211</v>
      </c>
      <c r="C7" s="20" t="s">
        <v>29</v>
      </c>
      <c r="D7" s="31"/>
      <c r="E7" s="22"/>
      <c r="F7" s="23"/>
      <c r="G7" s="24"/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20260708-004</v>
      </c>
      <c r="B8" s="19">
        <f t="shared" si="1"/>
        <v>46211</v>
      </c>
      <c r="C8" s="20" t="s">
        <v>30</v>
      </c>
      <c r="D8" s="21"/>
      <c r="E8" s="22"/>
      <c r="F8" s="23"/>
      <c r="G8" s="24"/>
      <c r="H8" s="25"/>
      <c r="I8" s="26"/>
      <c r="J8" s="27"/>
      <c r="K8" s="28"/>
      <c r="L8" s="15"/>
      <c r="M8" s="16"/>
      <c r="N8" s="15"/>
      <c r="O8" s="16"/>
      <c r="P8" s="30"/>
    </row>
    <row r="9" spans="1:16">
      <c r="A9" s="18" t="str">
        <f t="shared" si="0"/>
        <v>20260708-005</v>
      </c>
      <c r="B9" s="19">
        <f t="shared" si="1"/>
        <v>46211</v>
      </c>
      <c r="C9" s="20" t="s">
        <v>31</v>
      </c>
      <c r="D9" s="31"/>
      <c r="E9" s="22"/>
      <c r="F9" s="23"/>
      <c r="G9" s="24">
        <v>1</v>
      </c>
      <c r="H9" s="25"/>
      <c r="I9" s="26"/>
      <c r="J9" s="27"/>
      <c r="K9" s="28">
        <v>1</v>
      </c>
      <c r="L9" s="15"/>
      <c r="M9" s="29"/>
      <c r="N9" s="15"/>
      <c r="O9" s="29"/>
      <c r="P9" s="17"/>
    </row>
    <row r="10" spans="1:16">
      <c r="A10" s="18" t="str">
        <f t="shared" si="0"/>
        <v>20260708-006</v>
      </c>
      <c r="B10" s="19">
        <f t="shared" si="1"/>
        <v>46211</v>
      </c>
      <c r="C10" s="20" t="s">
        <v>32</v>
      </c>
      <c r="D10" s="21"/>
      <c r="E10" s="22"/>
      <c r="F10" s="23"/>
      <c r="G10" s="24"/>
      <c r="H10" s="25"/>
      <c r="I10" s="26">
        <v>2</v>
      </c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20260708-007</v>
      </c>
      <c r="B11" s="19">
        <f t="shared" si="1"/>
        <v>46211</v>
      </c>
      <c r="C11" s="20" t="s">
        <v>33</v>
      </c>
      <c r="D11" s="31"/>
      <c r="E11" s="22"/>
      <c r="F11" s="23"/>
      <c r="G11" s="24"/>
      <c r="H11" s="25"/>
      <c r="I11" s="26"/>
      <c r="J11" s="27"/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20260708-008</v>
      </c>
      <c r="B12" s="19">
        <f t="shared" si="1"/>
        <v>46211</v>
      </c>
      <c r="C12" s="33" t="s">
        <v>34</v>
      </c>
      <c r="D12" s="21">
        <v>5</v>
      </c>
      <c r="E12" s="22">
        <v>4</v>
      </c>
      <c r="F12" s="23"/>
      <c r="G12" s="24">
        <v>8</v>
      </c>
      <c r="H12" s="25"/>
      <c r="I12" s="26"/>
      <c r="J12" s="27"/>
      <c r="K12" s="28">
        <v>23</v>
      </c>
      <c r="L12" s="15"/>
      <c r="M12" s="16"/>
      <c r="N12" s="15"/>
      <c r="O12" s="16"/>
      <c r="P12" s="30"/>
    </row>
    <row r="13" spans="1:16">
      <c r="A13" s="18" t="str">
        <f t="shared" si="0"/>
        <v>20260708-009</v>
      </c>
      <c r="B13" s="19">
        <f t="shared" si="1"/>
        <v>46211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20260708-010</v>
      </c>
      <c r="B14" s="19">
        <f t="shared" si="1"/>
        <v>46211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20260708-011</v>
      </c>
      <c r="B15" s="19">
        <f t="shared" si="1"/>
        <v>46211</v>
      </c>
      <c r="C15" s="33" t="s">
        <v>36</v>
      </c>
      <c r="D15" s="31"/>
      <c r="E15" s="22"/>
      <c r="F15" s="23"/>
      <c r="G15" s="24"/>
      <c r="H15" s="25"/>
      <c r="I15" s="26">
        <v>5</v>
      </c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20260708-012</v>
      </c>
      <c r="B16" s="19">
        <f t="shared" si="1"/>
        <v>46211</v>
      </c>
      <c r="C16" s="20" t="s">
        <v>37</v>
      </c>
      <c r="D16" s="21"/>
      <c r="E16" s="22"/>
      <c r="F16" s="23"/>
      <c r="G16" s="24"/>
      <c r="H16" s="25"/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20260708-013</v>
      </c>
      <c r="B17" s="19">
        <f t="shared" si="1"/>
        <v>46211</v>
      </c>
      <c r="C17" s="20" t="s">
        <v>38</v>
      </c>
      <c r="D17" s="31"/>
      <c r="E17" s="22">
        <v>4</v>
      </c>
      <c r="F17" s="23"/>
      <c r="G17" s="24"/>
      <c r="H17" s="25">
        <v>1</v>
      </c>
      <c r="I17" s="26"/>
      <c r="J17" s="27">
        <v>2</v>
      </c>
      <c r="K17" s="28">
        <v>1</v>
      </c>
      <c r="L17" s="15"/>
      <c r="M17" s="16"/>
      <c r="N17" s="15"/>
      <c r="O17" s="16"/>
      <c r="P17" s="17"/>
    </row>
    <row r="18" spans="1:16">
      <c r="A18" s="18" t="str">
        <f t="shared" si="0"/>
        <v>20260708-014</v>
      </c>
      <c r="B18" s="19">
        <f t="shared" si="1"/>
        <v>46211</v>
      </c>
      <c r="C18" s="20" t="s">
        <v>39</v>
      </c>
      <c r="D18" s="21"/>
      <c r="E18" s="22"/>
      <c r="F18" s="23"/>
      <c r="G18" s="24"/>
      <c r="H18" s="25">
        <v>1</v>
      </c>
      <c r="I18" s="26"/>
      <c r="J18" s="27">
        <v>1</v>
      </c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20260708-015</v>
      </c>
      <c r="B19" s="19">
        <f t="shared" si="1"/>
        <v>46211</v>
      </c>
      <c r="C19" s="20" t="s">
        <v>40</v>
      </c>
      <c r="D19" s="31"/>
      <c r="E19" s="22">
        <v>5</v>
      </c>
      <c r="F19" s="23"/>
      <c r="G19" s="24"/>
      <c r="H19" s="25">
        <v>6</v>
      </c>
      <c r="I19" s="26">
        <v>4</v>
      </c>
      <c r="J19" s="27"/>
      <c r="K19" s="28">
        <v>2</v>
      </c>
      <c r="L19" s="15"/>
      <c r="M19" s="16"/>
      <c r="N19" s="15"/>
      <c r="O19" s="16"/>
      <c r="P19" s="17"/>
    </row>
    <row r="20" spans="1:16">
      <c r="A20" s="18" t="str">
        <f t="shared" si="0"/>
        <v>20260708-016</v>
      </c>
      <c r="B20" s="19">
        <f t="shared" si="1"/>
        <v>46211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20260708-017</v>
      </c>
      <c r="B21" s="19">
        <f t="shared" si="1"/>
        <v>46211</v>
      </c>
      <c r="C21" s="20" t="s">
        <v>42</v>
      </c>
      <c r="D21" s="31"/>
      <c r="E21" s="22"/>
      <c r="F21" s="23"/>
      <c r="G21" s="24">
        <v>1</v>
      </c>
      <c r="H21" s="25"/>
      <c r="I21" s="26"/>
      <c r="J21" s="27"/>
      <c r="K21" s="28">
        <v>1</v>
      </c>
      <c r="L21" s="15"/>
      <c r="M21" s="16"/>
      <c r="N21" s="15"/>
      <c r="O21" s="16"/>
      <c r="P21" s="17"/>
    </row>
    <row r="22" spans="1:16">
      <c r="A22" s="18" t="str">
        <f t="shared" si="0"/>
        <v>20260708-018</v>
      </c>
      <c r="B22" s="19">
        <f t="shared" si="1"/>
        <v>46211</v>
      </c>
      <c r="C22" s="20" t="s">
        <v>43</v>
      </c>
      <c r="D22" s="21"/>
      <c r="E22" s="22">
        <v>1</v>
      </c>
      <c r="F22" s="23"/>
      <c r="G22" s="24"/>
      <c r="H22" s="25">
        <v>2</v>
      </c>
      <c r="I22" s="26">
        <v>2</v>
      </c>
      <c r="J22" s="27"/>
      <c r="K22" s="28">
        <v>1</v>
      </c>
      <c r="L22" s="15"/>
      <c r="M22" s="16"/>
      <c r="N22" s="15"/>
      <c r="O22" s="16"/>
      <c r="P22" s="30"/>
    </row>
    <row r="23" spans="1:16">
      <c r="A23" s="18" t="str">
        <f t="shared" si="0"/>
        <v>20260708-019</v>
      </c>
      <c r="B23" s="19">
        <f t="shared" si="1"/>
        <v>46211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20260708-020</v>
      </c>
      <c r="B24" s="19">
        <f t="shared" si="1"/>
        <v>46211</v>
      </c>
      <c r="C24" s="20" t="s">
        <v>45</v>
      </c>
      <c r="D24" s="21"/>
      <c r="E24" s="22"/>
      <c r="F24" s="23"/>
      <c r="G24" s="24"/>
      <c r="H24" s="25"/>
      <c r="I24" s="26">
        <v>3</v>
      </c>
      <c r="J24" s="27">
        <v>3</v>
      </c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20260708-021</v>
      </c>
      <c r="B25" s="19">
        <f t="shared" si="1"/>
        <v>46211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20260708-022</v>
      </c>
      <c r="B26" s="19">
        <f t="shared" si="1"/>
        <v>46211</v>
      </c>
      <c r="C26" s="20" t="s">
        <v>47</v>
      </c>
      <c r="D26" s="21"/>
      <c r="E26" s="22"/>
      <c r="F26" s="23"/>
      <c r="G26" s="24"/>
      <c r="H26" s="25"/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20260708-023</v>
      </c>
      <c r="B27" s="19">
        <f t="shared" si="1"/>
        <v>46211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20260708-024</v>
      </c>
      <c r="B28" s="19">
        <f t="shared" si="1"/>
        <v>46211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20260708-025</v>
      </c>
      <c r="B29" s="19">
        <f t="shared" si="1"/>
        <v>46211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20260708-026</v>
      </c>
      <c r="B30" s="19">
        <f t="shared" si="1"/>
        <v>46211</v>
      </c>
      <c r="C30" s="20" t="s">
        <v>51</v>
      </c>
      <c r="D30" s="21"/>
      <c r="E30" s="22"/>
      <c r="F30" s="23"/>
      <c r="G30" s="24"/>
      <c r="H30" s="25"/>
      <c r="I30" s="26"/>
      <c r="J30" s="27"/>
      <c r="K30" s="28"/>
      <c r="L30" s="15"/>
      <c r="M30" s="16"/>
      <c r="N30" s="15"/>
      <c r="O30" s="16"/>
      <c r="P30" s="30"/>
    </row>
    <row r="31" spans="1:16">
      <c r="A31" s="18" t="str">
        <f t="shared" si="0"/>
        <v>20260708-027</v>
      </c>
      <c r="B31" s="19">
        <f t="shared" si="1"/>
        <v>46211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20260708-028</v>
      </c>
      <c r="B32" s="19">
        <f t="shared" si="1"/>
        <v>46211</v>
      </c>
      <c r="C32" s="20" t="s">
        <v>53</v>
      </c>
      <c r="D32" s="21"/>
      <c r="E32" s="22">
        <v>8</v>
      </c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20260708-029</v>
      </c>
      <c r="B33" s="19">
        <f t="shared" si="1"/>
        <v>46211</v>
      </c>
      <c r="C33" s="20" t="s">
        <v>54</v>
      </c>
      <c r="D33" s="31"/>
      <c r="E33" s="22"/>
      <c r="F33" s="23"/>
      <c r="G33" s="24">
        <v>3</v>
      </c>
      <c r="H33" s="25"/>
      <c r="I33" s="26"/>
      <c r="J33" s="27"/>
      <c r="K33" s="28">
        <v>2</v>
      </c>
      <c r="L33" s="15"/>
      <c r="M33" s="16"/>
      <c r="N33" s="15"/>
      <c r="O33" s="16"/>
      <c r="P33" s="17"/>
    </row>
    <row r="34" spans="1:16">
      <c r="A34" s="18" t="str">
        <f t="shared" si="0"/>
        <v>20260708-030</v>
      </c>
      <c r="B34" s="19">
        <f t="shared" si="1"/>
        <v>46211</v>
      </c>
      <c r="C34" s="20" t="s">
        <v>55</v>
      </c>
      <c r="D34" s="21"/>
      <c r="E34" s="22">
        <v>1</v>
      </c>
      <c r="F34" s="23"/>
      <c r="G34" s="24"/>
      <c r="H34" s="25"/>
      <c r="I34" s="26"/>
      <c r="J34" s="27"/>
      <c r="K34" s="28">
        <v>2</v>
      </c>
      <c r="L34" s="15"/>
      <c r="M34" s="16"/>
      <c r="N34" s="15"/>
      <c r="O34" s="16"/>
      <c r="P34" s="30"/>
    </row>
    <row r="35" spans="1:16">
      <c r="A35" s="18" t="str">
        <f t="shared" si="0"/>
        <v>20260708-031</v>
      </c>
      <c r="B35" s="19">
        <f t="shared" si="1"/>
        <v>46211</v>
      </c>
      <c r="C35" s="20" t="s">
        <v>56</v>
      </c>
      <c r="D35" s="31"/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20260708-032</v>
      </c>
      <c r="B36" s="19">
        <f t="shared" si="1"/>
        <v>46211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20260708-033</v>
      </c>
      <c r="B37" s="19">
        <f t="shared" si="1"/>
        <v>46211</v>
      </c>
      <c r="C37" s="20" t="s">
        <v>58</v>
      </c>
      <c r="D37" s="31"/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20260708-034</v>
      </c>
      <c r="B38" s="19">
        <f t="shared" ref="B38:B69" si="3">$B$5</f>
        <v>46211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20260708-035</v>
      </c>
      <c r="B39" s="19">
        <f t="shared" si="3"/>
        <v>46211</v>
      </c>
      <c r="C39" s="20" t="s">
        <v>60</v>
      </c>
      <c r="D39" s="31"/>
      <c r="E39" s="22"/>
      <c r="F39" s="23"/>
      <c r="G39" s="24">
        <v>1</v>
      </c>
      <c r="H39" s="25"/>
      <c r="I39" s="26"/>
      <c r="J39" s="27"/>
      <c r="K39" s="28">
        <v>1</v>
      </c>
      <c r="L39" s="15"/>
      <c r="M39" s="16"/>
      <c r="N39" s="15"/>
      <c r="O39" s="16"/>
      <c r="P39" s="17"/>
    </row>
    <row r="40" spans="1:16">
      <c r="A40" s="18" t="str">
        <f t="shared" si="2"/>
        <v>20260708-036</v>
      </c>
      <c r="B40" s="19">
        <f t="shared" si="3"/>
        <v>46211</v>
      </c>
      <c r="C40" s="20" t="s">
        <v>61</v>
      </c>
      <c r="D40" s="21"/>
      <c r="E40" s="22"/>
      <c r="F40" s="23"/>
      <c r="G40" s="24"/>
      <c r="H40" s="25"/>
      <c r="I40" s="26"/>
      <c r="J40" s="27"/>
      <c r="K40" s="28"/>
      <c r="L40" s="15"/>
      <c r="M40" s="16"/>
      <c r="N40" s="15"/>
      <c r="O40" s="16"/>
      <c r="P40" s="30"/>
    </row>
    <row r="41" spans="1:16">
      <c r="A41" s="18" t="str">
        <f t="shared" si="2"/>
        <v>20260708-037</v>
      </c>
      <c r="B41" s="19">
        <f t="shared" si="3"/>
        <v>46211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20260708-038</v>
      </c>
      <c r="B42" s="19">
        <f t="shared" si="3"/>
        <v>46211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20260708-039</v>
      </c>
      <c r="B43" s="19">
        <f t="shared" si="3"/>
        <v>46211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20260708-040</v>
      </c>
      <c r="B44" s="19">
        <f t="shared" si="3"/>
        <v>46211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20260708-041</v>
      </c>
      <c r="B45" s="19">
        <f t="shared" si="3"/>
        <v>46211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20260708-042</v>
      </c>
      <c r="B46" s="19">
        <f t="shared" si="3"/>
        <v>46211</v>
      </c>
      <c r="C46" s="20" t="s">
        <v>67</v>
      </c>
      <c r="D46" s="21"/>
      <c r="E46" s="22"/>
      <c r="F46" s="23"/>
      <c r="G46" s="24">
        <v>1</v>
      </c>
      <c r="H46" s="25"/>
      <c r="I46" s="26"/>
      <c r="J46" s="27"/>
      <c r="K46" s="28">
        <v>1</v>
      </c>
      <c r="L46" s="15"/>
      <c r="M46" s="16"/>
      <c r="N46" s="15"/>
      <c r="O46" s="16"/>
      <c r="P46" s="30"/>
    </row>
    <row r="47" spans="1:16">
      <c r="A47" s="18" t="str">
        <f t="shared" si="2"/>
        <v>20260708-043</v>
      </c>
      <c r="B47" s="19">
        <f t="shared" si="3"/>
        <v>46211</v>
      </c>
      <c r="C47" s="20" t="s">
        <v>68</v>
      </c>
      <c r="D47" s="31"/>
      <c r="E47" s="22"/>
      <c r="F47" s="23"/>
      <c r="G47" s="24">
        <v>1</v>
      </c>
      <c r="H47" s="25"/>
      <c r="I47" s="26"/>
      <c r="J47" s="27"/>
      <c r="K47" s="28">
        <v>1</v>
      </c>
      <c r="L47" s="15"/>
      <c r="M47" s="16"/>
      <c r="N47" s="15"/>
      <c r="O47" s="16"/>
      <c r="P47" s="17"/>
    </row>
    <row r="48" spans="1:16">
      <c r="A48" s="18" t="str">
        <f t="shared" si="2"/>
        <v>20260708-044</v>
      </c>
      <c r="B48" s="19">
        <f t="shared" si="3"/>
        <v>46211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20260708-045</v>
      </c>
      <c r="B49" s="19">
        <f t="shared" si="3"/>
        <v>46211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20260708-046</v>
      </c>
      <c r="B50" s="19">
        <f t="shared" si="3"/>
        <v>46211</v>
      </c>
      <c r="C50" s="20" t="s">
        <v>71</v>
      </c>
      <c r="D50" s="21"/>
      <c r="E50" s="22">
        <v>1</v>
      </c>
      <c r="F50" s="23"/>
      <c r="G50" s="24"/>
      <c r="H50" s="25"/>
      <c r="I50" s="26"/>
      <c r="J50" s="27"/>
      <c r="K50" s="28">
        <v>1</v>
      </c>
      <c r="L50" s="15"/>
      <c r="M50" s="16"/>
      <c r="N50" s="15"/>
      <c r="O50" s="16"/>
      <c r="P50" s="30"/>
    </row>
    <row r="51" spans="1:16">
      <c r="A51" s="18" t="str">
        <f t="shared" si="2"/>
        <v>20260708-047</v>
      </c>
      <c r="B51" s="19">
        <f t="shared" si="3"/>
        <v>46211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20260708-048</v>
      </c>
      <c r="B52" s="19">
        <f t="shared" si="3"/>
        <v>46211</v>
      </c>
      <c r="C52" s="20" t="s">
        <v>73</v>
      </c>
      <c r="D52" s="21"/>
      <c r="E52" s="22">
        <v>1</v>
      </c>
      <c r="F52" s="23"/>
      <c r="G52" s="24"/>
      <c r="H52" s="25"/>
      <c r="I52" s="26"/>
      <c r="J52" s="27"/>
      <c r="K52" s="28">
        <v>2</v>
      </c>
      <c r="L52" s="15"/>
      <c r="M52" s="16"/>
      <c r="N52" s="15"/>
      <c r="O52" s="16"/>
      <c r="P52" s="30"/>
    </row>
    <row r="53" spans="1:16">
      <c r="A53" s="18" t="str">
        <f t="shared" si="2"/>
        <v>20260708-049</v>
      </c>
      <c r="B53" s="19">
        <f t="shared" si="3"/>
        <v>46211</v>
      </c>
      <c r="C53" s="20" t="s">
        <v>74</v>
      </c>
      <c r="D53" s="31"/>
      <c r="E53" s="22"/>
      <c r="F53" s="23"/>
      <c r="G53" s="24"/>
      <c r="H53" s="25"/>
      <c r="I53" s="26">
        <v>7</v>
      </c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20260708-050</v>
      </c>
      <c r="B54" s="19">
        <f t="shared" si="3"/>
        <v>46211</v>
      </c>
      <c r="C54" s="20" t="s">
        <v>75</v>
      </c>
      <c r="D54" s="31"/>
      <c r="E54" s="22"/>
      <c r="F54" s="23"/>
      <c r="G54" s="24">
        <v>1</v>
      </c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20260708-051</v>
      </c>
      <c r="B55" s="19">
        <f t="shared" si="3"/>
        <v>46211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20260708-052</v>
      </c>
      <c r="B56" s="19">
        <f t="shared" si="3"/>
        <v>46211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20260708-053</v>
      </c>
      <c r="B57" s="19">
        <f t="shared" si="3"/>
        <v>46211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20260708-054</v>
      </c>
      <c r="B58" s="19">
        <f t="shared" si="3"/>
        <v>46211</v>
      </c>
      <c r="C58" s="20" t="s">
        <v>79</v>
      </c>
      <c r="D58" s="31"/>
      <c r="E58" s="22">
        <v>1</v>
      </c>
      <c r="F58" s="23"/>
      <c r="G58" s="24"/>
      <c r="H58" s="25"/>
      <c r="I58" s="26"/>
      <c r="J58" s="27"/>
      <c r="K58" s="28">
        <v>3</v>
      </c>
      <c r="L58" s="15"/>
      <c r="M58" s="16"/>
      <c r="N58" s="15"/>
      <c r="O58" s="16"/>
      <c r="P58" s="17"/>
    </row>
    <row r="59" spans="1:16">
      <c r="A59" s="18" t="str">
        <f t="shared" si="2"/>
        <v>20260708-055</v>
      </c>
      <c r="B59" s="19">
        <f t="shared" si="3"/>
        <v>46211</v>
      </c>
      <c r="C59" s="20" t="s">
        <v>80</v>
      </c>
      <c r="D59" s="31"/>
      <c r="E59" s="22"/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20260708-056</v>
      </c>
      <c r="B60" s="19">
        <f t="shared" si="3"/>
        <v>46211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20260708-057</v>
      </c>
      <c r="B61" s="19">
        <f t="shared" si="3"/>
        <v>46211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20260708-058</v>
      </c>
      <c r="B62" s="19">
        <f t="shared" si="3"/>
        <v>46211</v>
      </c>
      <c r="C62" s="20" t="s">
        <v>83</v>
      </c>
      <c r="D62" s="31"/>
      <c r="E62" s="22"/>
      <c r="F62" s="23"/>
      <c r="G62" s="24"/>
      <c r="H62" s="25">
        <v>10</v>
      </c>
      <c r="I62" s="26">
        <v>5</v>
      </c>
      <c r="J62" s="27"/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20260708-059</v>
      </c>
      <c r="B63" s="19">
        <f t="shared" si="3"/>
        <v>46211</v>
      </c>
      <c r="C63" s="20" t="s">
        <v>84</v>
      </c>
      <c r="D63" s="21">
        <v>10</v>
      </c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20260708-060</v>
      </c>
      <c r="B64" s="19">
        <f t="shared" si="3"/>
        <v>46211</v>
      </c>
      <c r="C64" s="20" t="s">
        <v>85</v>
      </c>
      <c r="D64" s="31">
        <v>10</v>
      </c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20260708-061</v>
      </c>
      <c r="B65" s="19">
        <f t="shared" si="3"/>
        <v>46211</v>
      </c>
      <c r="C65" s="20" t="s">
        <v>86</v>
      </c>
      <c r="D65" s="21">
        <v>20</v>
      </c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20260708-062</v>
      </c>
      <c r="B66" s="19">
        <f t="shared" si="3"/>
        <v>46211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20260708-063</v>
      </c>
      <c r="B67" s="19">
        <f t="shared" si="3"/>
        <v>46211</v>
      </c>
      <c r="C67" s="20" t="s">
        <v>88</v>
      </c>
      <c r="D67" s="21"/>
      <c r="E67" s="22"/>
      <c r="F67" s="23"/>
      <c r="G67" s="24"/>
      <c r="H67" s="25">
        <v>10</v>
      </c>
      <c r="I67" s="26">
        <v>5</v>
      </c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20260708-064</v>
      </c>
      <c r="B68" s="19">
        <f t="shared" si="3"/>
        <v>46211</v>
      </c>
      <c r="C68" s="20" t="s">
        <v>89</v>
      </c>
      <c r="D68" s="31"/>
      <c r="E68" s="22">
        <v>3</v>
      </c>
      <c r="F68" s="23"/>
      <c r="G68" s="24"/>
      <c r="H68" s="25"/>
      <c r="I68" s="26"/>
      <c r="J68" s="27"/>
      <c r="K68" s="28">
        <v>3</v>
      </c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20260708-065</v>
      </c>
      <c r="B69" s="19">
        <f t="shared" si="3"/>
        <v>46211</v>
      </c>
      <c r="C69" s="20" t="s">
        <v>90</v>
      </c>
      <c r="D69" s="21"/>
      <c r="E69" s="22"/>
      <c r="F69" s="23"/>
      <c r="G69" s="24"/>
      <c r="H69" s="25">
        <v>2</v>
      </c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20260708-066</v>
      </c>
      <c r="B70" s="19">
        <f t="shared" ref="B70:B80" si="5">$B$5</f>
        <v>46211</v>
      </c>
      <c r="C70" s="20" t="s">
        <v>91</v>
      </c>
      <c r="D70" s="31"/>
      <c r="E70" s="22"/>
      <c r="F70" s="23"/>
      <c r="G70" s="24">
        <v>1</v>
      </c>
      <c r="H70" s="25"/>
      <c r="I70" s="26"/>
      <c r="J70" s="27">
        <v>1</v>
      </c>
      <c r="K70" s="28">
        <v>1</v>
      </c>
      <c r="L70" s="15"/>
      <c r="M70" s="16"/>
      <c r="N70" s="15"/>
      <c r="O70" s="16"/>
      <c r="P70" s="17"/>
    </row>
    <row r="71" spans="1:16">
      <c r="A71" s="18" t="str">
        <f t="shared" si="4"/>
        <v>20260708-067</v>
      </c>
      <c r="B71" s="19">
        <f t="shared" si="5"/>
        <v>46211</v>
      </c>
      <c r="C71" s="20" t="s">
        <v>92</v>
      </c>
      <c r="D71" s="21"/>
      <c r="E71" s="22"/>
      <c r="F71" s="23"/>
      <c r="G71" s="24">
        <v>1</v>
      </c>
      <c r="H71" s="25"/>
      <c r="I71" s="26"/>
      <c r="J71" s="27"/>
      <c r="K71" s="28">
        <v>1</v>
      </c>
      <c r="L71" s="15"/>
      <c r="M71" s="16"/>
      <c r="N71" s="15"/>
      <c r="O71" s="16"/>
      <c r="P71" s="30"/>
    </row>
    <row r="72" spans="1:16">
      <c r="A72" s="18" t="str">
        <f t="shared" si="4"/>
        <v>20260708-068</v>
      </c>
      <c r="B72" s="19">
        <f t="shared" si="5"/>
        <v>46211</v>
      </c>
      <c r="C72" s="20" t="s">
        <v>93</v>
      </c>
      <c r="D72" s="31"/>
      <c r="E72" s="22">
        <v>1</v>
      </c>
      <c r="F72" s="23"/>
      <c r="G72" s="24"/>
      <c r="H72" s="25"/>
      <c r="I72" s="26"/>
      <c r="J72" s="27"/>
      <c r="K72" s="28">
        <v>2</v>
      </c>
      <c r="L72" s="15"/>
      <c r="M72" s="16"/>
      <c r="N72" s="15"/>
      <c r="O72" s="16"/>
      <c r="P72" s="17"/>
    </row>
    <row r="73" spans="1:16">
      <c r="A73" s="18" t="str">
        <f t="shared" si="4"/>
        <v>20260708-069</v>
      </c>
      <c r="B73" s="19">
        <f t="shared" si="5"/>
        <v>46211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20260708-070</v>
      </c>
      <c r="B74" s="19">
        <f t="shared" si="5"/>
        <v>46211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1</v>
      </c>
      <c r="M74" s="16"/>
      <c r="N74" s="15"/>
      <c r="O74" s="16"/>
    </row>
    <row r="75" spans="1:16">
      <c r="A75" s="18" t="str">
        <f t="shared" si="4"/>
        <v>20260708-071</v>
      </c>
      <c r="B75" s="19">
        <f t="shared" si="5"/>
        <v>46211</v>
      </c>
      <c r="C75" s="20" t="s">
        <v>96</v>
      </c>
      <c r="D75" s="21"/>
      <c r="E75" s="22"/>
      <c r="F75" s="23"/>
      <c r="G75" s="24">
        <v>2</v>
      </c>
      <c r="H75" s="25"/>
      <c r="I75" s="26"/>
      <c r="J75" s="27"/>
      <c r="K75" s="28">
        <v>2</v>
      </c>
      <c r="L75" s="15"/>
      <c r="M75" s="16"/>
      <c r="N75" s="15"/>
      <c r="O75" s="16"/>
      <c r="P75" s="30"/>
    </row>
    <row r="76" spans="1:16">
      <c r="A76" s="18" t="str">
        <f t="shared" si="4"/>
        <v>20260708-072</v>
      </c>
      <c r="B76" s="19">
        <f t="shared" si="5"/>
        <v>46211</v>
      </c>
      <c r="C76" s="20" t="s">
        <v>97</v>
      </c>
      <c r="D76" s="31"/>
      <c r="E76" s="22"/>
      <c r="F76" s="23"/>
      <c r="G76" s="24">
        <v>1</v>
      </c>
      <c r="H76" s="25"/>
      <c r="I76" s="26"/>
      <c r="J76" s="27"/>
      <c r="K76" s="28">
        <v>2</v>
      </c>
      <c r="L76" s="15"/>
      <c r="M76" s="16"/>
      <c r="N76" s="15"/>
      <c r="O76" s="16"/>
    </row>
    <row r="77" spans="1:16">
      <c r="A77" s="18" t="str">
        <f t="shared" si="4"/>
        <v>20260708-073</v>
      </c>
      <c r="B77" s="19">
        <f t="shared" si="5"/>
        <v>46211</v>
      </c>
      <c r="C77" s="20" t="s">
        <v>98</v>
      </c>
      <c r="D77" s="21"/>
      <c r="E77" s="22"/>
      <c r="F77" s="23"/>
      <c r="G77" s="24">
        <v>1</v>
      </c>
      <c r="H77" s="25"/>
      <c r="I77" s="26"/>
      <c r="J77" s="27"/>
      <c r="K77" s="28"/>
      <c r="L77" s="34">
        <v>1</v>
      </c>
      <c r="M77" s="16"/>
      <c r="N77" s="15"/>
      <c r="O77" s="16"/>
      <c r="P77" s="30"/>
    </row>
    <row r="78" spans="1:16">
      <c r="A78" s="18" t="str">
        <f t="shared" si="4"/>
        <v>20260708-074</v>
      </c>
      <c r="B78" s="19">
        <f t="shared" si="5"/>
        <v>46211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20260708-075</v>
      </c>
      <c r="B79" s="19">
        <f t="shared" si="5"/>
        <v>46211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20260708-076</v>
      </c>
      <c r="B80" s="19">
        <f t="shared" si="5"/>
        <v>46211</v>
      </c>
      <c r="C80" s="20" t="s">
        <v>101</v>
      </c>
      <c r="D80" s="31"/>
      <c r="E80" s="22">
        <v>16</v>
      </c>
      <c r="F80" s="23"/>
      <c r="G80" s="24">
        <v>2</v>
      </c>
      <c r="H80" s="25"/>
      <c r="I80" s="26"/>
      <c r="J80" s="27"/>
      <c r="K80" s="28">
        <v>13</v>
      </c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80"/>
  <sheetViews>
    <sheetView zoomScale="70" zoomScaleNormal="70" workbookViewId="0">
      <selection activeCell="C14" sqref="C1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20260709-001</v>
      </c>
      <c r="B5" s="5">
        <v>46212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20260709-002</v>
      </c>
      <c r="B6" s="19">
        <f t="shared" ref="B6:B37" si="1">$B$5</f>
        <v>46212</v>
      </c>
      <c r="C6" s="20" t="s">
        <v>28</v>
      </c>
      <c r="D6" s="21">
        <v>20</v>
      </c>
      <c r="E6" s="22">
        <v>4</v>
      </c>
      <c r="F6" s="23"/>
      <c r="G6" s="24">
        <v>7</v>
      </c>
      <c r="H6" s="25"/>
      <c r="I6" s="26"/>
      <c r="J6" s="27"/>
      <c r="K6" s="28">
        <v>9</v>
      </c>
      <c r="L6" s="15"/>
      <c r="M6" s="29"/>
      <c r="N6" s="15"/>
      <c r="O6" s="29"/>
      <c r="P6" s="30"/>
    </row>
    <row r="7" spans="1:16">
      <c r="A7" s="18" t="str">
        <f t="shared" si="0"/>
        <v>20260709-003</v>
      </c>
      <c r="B7" s="19">
        <f t="shared" si="1"/>
        <v>46212</v>
      </c>
      <c r="C7" s="20" t="s">
        <v>29</v>
      </c>
      <c r="D7" s="31"/>
      <c r="E7" s="22">
        <v>2</v>
      </c>
      <c r="F7" s="23"/>
      <c r="G7" s="24">
        <v>1</v>
      </c>
      <c r="H7" s="25"/>
      <c r="I7" s="26"/>
      <c r="J7" s="27"/>
      <c r="K7" s="28">
        <v>4</v>
      </c>
      <c r="L7" s="15"/>
      <c r="M7" s="29"/>
      <c r="N7" s="15"/>
      <c r="O7" s="29"/>
      <c r="P7" s="32"/>
    </row>
    <row r="8" spans="1:16">
      <c r="A8" s="18" t="str">
        <f t="shared" si="0"/>
        <v>20260709-004</v>
      </c>
      <c r="B8" s="19">
        <f t="shared" si="1"/>
        <v>46212</v>
      </c>
      <c r="C8" s="20" t="s">
        <v>30</v>
      </c>
      <c r="D8" s="21"/>
      <c r="E8" s="22">
        <v>2</v>
      </c>
      <c r="F8" s="23"/>
      <c r="G8" s="24">
        <v>1</v>
      </c>
      <c r="H8" s="25"/>
      <c r="I8" s="26"/>
      <c r="J8" s="27"/>
      <c r="K8" s="28">
        <v>3</v>
      </c>
      <c r="L8" s="15"/>
      <c r="M8" s="16"/>
      <c r="N8" s="15"/>
      <c r="O8" s="16"/>
      <c r="P8" s="30"/>
    </row>
    <row r="9" spans="1:16">
      <c r="A9" s="18" t="str">
        <f t="shared" si="0"/>
        <v>20260709-005</v>
      </c>
      <c r="B9" s="19">
        <f t="shared" si="1"/>
        <v>46212</v>
      </c>
      <c r="C9" s="20" t="s">
        <v>31</v>
      </c>
      <c r="D9" s="31"/>
      <c r="E9" s="22"/>
      <c r="F9" s="23"/>
      <c r="G9" s="24">
        <v>1</v>
      </c>
      <c r="H9" s="25"/>
      <c r="I9" s="26"/>
      <c r="J9" s="27"/>
      <c r="K9" s="28"/>
      <c r="L9" s="15"/>
      <c r="M9" s="29"/>
      <c r="N9" s="15"/>
      <c r="O9" s="29"/>
      <c r="P9" s="17"/>
    </row>
    <row r="10" spans="1:16">
      <c r="A10" s="18" t="str">
        <f t="shared" si="0"/>
        <v>20260709-006</v>
      </c>
      <c r="B10" s="19">
        <f t="shared" si="1"/>
        <v>46212</v>
      </c>
      <c r="C10" s="20" t="s">
        <v>32</v>
      </c>
      <c r="D10" s="21"/>
      <c r="E10" s="22"/>
      <c r="F10" s="23"/>
      <c r="G10" s="24"/>
      <c r="H10" s="25"/>
      <c r="I10" s="26"/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20260709-007</v>
      </c>
      <c r="B11" s="19">
        <f t="shared" si="1"/>
        <v>46212</v>
      </c>
      <c r="C11" s="20" t="s">
        <v>33</v>
      </c>
      <c r="D11" s="31"/>
      <c r="E11" s="22"/>
      <c r="F11" s="23"/>
      <c r="G11" s="24"/>
      <c r="H11" s="25">
        <v>25</v>
      </c>
      <c r="I11" s="26">
        <v>30</v>
      </c>
      <c r="J11" s="27">
        <v>15</v>
      </c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20260709-008</v>
      </c>
      <c r="B12" s="19">
        <f t="shared" si="1"/>
        <v>46212</v>
      </c>
      <c r="C12" s="33" t="s">
        <v>34</v>
      </c>
      <c r="D12" s="21">
        <v>10</v>
      </c>
      <c r="E12" s="22">
        <v>17</v>
      </c>
      <c r="F12" s="23"/>
      <c r="G12" s="24">
        <v>15</v>
      </c>
      <c r="H12" s="25"/>
      <c r="I12" s="26"/>
      <c r="J12" s="27"/>
      <c r="K12" s="28">
        <v>26</v>
      </c>
      <c r="L12" s="15"/>
      <c r="M12" s="16"/>
      <c r="N12" s="15"/>
      <c r="O12" s="16"/>
      <c r="P12" s="30"/>
    </row>
    <row r="13" spans="1:16">
      <c r="A13" s="18" t="str">
        <f t="shared" si="0"/>
        <v>20260709-009</v>
      </c>
      <c r="B13" s="19">
        <f t="shared" si="1"/>
        <v>46212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20260709-010</v>
      </c>
      <c r="B14" s="19">
        <f t="shared" si="1"/>
        <v>46212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20260709-011</v>
      </c>
      <c r="B15" s="19">
        <f t="shared" si="1"/>
        <v>46212</v>
      </c>
      <c r="C15" s="33" t="s">
        <v>36</v>
      </c>
      <c r="D15" s="31"/>
      <c r="E15" s="22"/>
      <c r="F15" s="23"/>
      <c r="G15" s="24"/>
      <c r="H15" s="25">
        <v>8</v>
      </c>
      <c r="I15" s="26">
        <v>7</v>
      </c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20260709-012</v>
      </c>
      <c r="B16" s="19">
        <f t="shared" si="1"/>
        <v>46212</v>
      </c>
      <c r="C16" s="20" t="s">
        <v>37</v>
      </c>
      <c r="D16" s="21"/>
      <c r="E16" s="22"/>
      <c r="F16" s="23"/>
      <c r="G16" s="24"/>
      <c r="H16" s="25">
        <v>3</v>
      </c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20260709-013</v>
      </c>
      <c r="B17" s="19">
        <f t="shared" si="1"/>
        <v>46212</v>
      </c>
      <c r="C17" s="20" t="s">
        <v>38</v>
      </c>
      <c r="D17" s="31"/>
      <c r="E17" s="22"/>
      <c r="F17" s="23"/>
      <c r="G17" s="24">
        <v>1</v>
      </c>
      <c r="H17" s="25">
        <v>2</v>
      </c>
      <c r="I17" s="26"/>
      <c r="J17" s="27">
        <v>1</v>
      </c>
      <c r="K17" s="28">
        <v>1</v>
      </c>
      <c r="L17" s="15"/>
      <c r="M17" s="16"/>
      <c r="N17" s="15"/>
      <c r="O17" s="16"/>
      <c r="P17" s="17"/>
    </row>
    <row r="18" spans="1:16">
      <c r="A18" s="18" t="str">
        <f t="shared" si="0"/>
        <v>20260709-014</v>
      </c>
      <c r="B18" s="19">
        <f t="shared" si="1"/>
        <v>46212</v>
      </c>
      <c r="C18" s="20" t="s">
        <v>39</v>
      </c>
      <c r="D18" s="21"/>
      <c r="E18" s="22"/>
      <c r="F18" s="23"/>
      <c r="G18" s="24"/>
      <c r="H18" s="25"/>
      <c r="I18" s="26"/>
      <c r="J18" s="27"/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20260709-015</v>
      </c>
      <c r="B19" s="19">
        <f t="shared" si="1"/>
        <v>46212</v>
      </c>
      <c r="C19" s="20" t="s">
        <v>40</v>
      </c>
      <c r="D19" s="31"/>
      <c r="E19" s="22">
        <v>1</v>
      </c>
      <c r="F19" s="23"/>
      <c r="G19" s="24"/>
      <c r="H19" s="25">
        <v>2</v>
      </c>
      <c r="I19" s="26">
        <v>6</v>
      </c>
      <c r="J19" s="27"/>
      <c r="K19" s="28"/>
      <c r="L19" s="15"/>
      <c r="M19" s="16"/>
      <c r="N19" s="15"/>
      <c r="O19" s="16"/>
      <c r="P19" s="17"/>
    </row>
    <row r="20" spans="1:16">
      <c r="A20" s="18" t="str">
        <f t="shared" si="0"/>
        <v>20260709-016</v>
      </c>
      <c r="B20" s="19">
        <f t="shared" si="1"/>
        <v>46212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20260709-017</v>
      </c>
      <c r="B21" s="19">
        <f t="shared" si="1"/>
        <v>46212</v>
      </c>
      <c r="C21" s="20" t="s">
        <v>42</v>
      </c>
      <c r="D21" s="31"/>
      <c r="E21" s="22"/>
      <c r="F21" s="23"/>
      <c r="G21" s="24">
        <v>1</v>
      </c>
      <c r="H21" s="25"/>
      <c r="I21" s="26"/>
      <c r="J21" s="27"/>
      <c r="K21" s="28"/>
      <c r="L21" s="15"/>
      <c r="M21" s="16"/>
      <c r="N21" s="15"/>
      <c r="O21" s="16"/>
      <c r="P21" s="17"/>
    </row>
    <row r="22" spans="1:16">
      <c r="A22" s="18" t="str">
        <f t="shared" si="0"/>
        <v>20260709-018</v>
      </c>
      <c r="B22" s="19">
        <f t="shared" si="1"/>
        <v>46212</v>
      </c>
      <c r="C22" s="20" t="s">
        <v>43</v>
      </c>
      <c r="D22" s="21"/>
      <c r="E22" s="22">
        <v>2</v>
      </c>
      <c r="F22" s="23"/>
      <c r="G22" s="24">
        <v>6</v>
      </c>
      <c r="H22" s="25">
        <v>2</v>
      </c>
      <c r="I22" s="26">
        <v>8</v>
      </c>
      <c r="J22" s="27"/>
      <c r="K22" s="28">
        <v>3</v>
      </c>
      <c r="L22" s="15"/>
      <c r="M22" s="16"/>
      <c r="N22" s="15"/>
      <c r="O22" s="16"/>
      <c r="P22" s="30"/>
    </row>
    <row r="23" spans="1:16">
      <c r="A23" s="18" t="str">
        <f t="shared" si="0"/>
        <v>20260709-019</v>
      </c>
      <c r="B23" s="19">
        <f t="shared" si="1"/>
        <v>46212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20260709-020</v>
      </c>
      <c r="B24" s="19">
        <f t="shared" si="1"/>
        <v>46212</v>
      </c>
      <c r="C24" s="20" t="s">
        <v>45</v>
      </c>
      <c r="D24" s="21"/>
      <c r="E24" s="22"/>
      <c r="F24" s="23"/>
      <c r="G24" s="24"/>
      <c r="H24" s="25"/>
      <c r="I24" s="26"/>
      <c r="J24" s="27"/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20260709-021</v>
      </c>
      <c r="B25" s="19">
        <f t="shared" si="1"/>
        <v>46212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20260709-022</v>
      </c>
      <c r="B26" s="19">
        <f t="shared" si="1"/>
        <v>46212</v>
      </c>
      <c r="C26" s="20" t="s">
        <v>47</v>
      </c>
      <c r="D26" s="21"/>
      <c r="E26" s="22"/>
      <c r="F26" s="23"/>
      <c r="G26" s="24"/>
      <c r="H26" s="25"/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20260709-023</v>
      </c>
      <c r="B27" s="19">
        <f t="shared" si="1"/>
        <v>46212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20260709-024</v>
      </c>
      <c r="B28" s="19">
        <f t="shared" si="1"/>
        <v>46212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20260709-025</v>
      </c>
      <c r="B29" s="19">
        <f t="shared" si="1"/>
        <v>46212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20260709-026</v>
      </c>
      <c r="B30" s="19">
        <f t="shared" si="1"/>
        <v>46212</v>
      </c>
      <c r="C30" s="20" t="s">
        <v>51</v>
      </c>
      <c r="D30" s="21"/>
      <c r="E30" s="22">
        <v>1</v>
      </c>
      <c r="F30" s="23"/>
      <c r="G30" s="24">
        <v>4</v>
      </c>
      <c r="H30" s="25"/>
      <c r="I30" s="26"/>
      <c r="J30" s="27"/>
      <c r="K30" s="28">
        <v>6</v>
      </c>
      <c r="L30" s="15"/>
      <c r="M30" s="16"/>
      <c r="N30" s="15"/>
      <c r="O30" s="16"/>
      <c r="P30" s="30"/>
    </row>
    <row r="31" spans="1:16">
      <c r="A31" s="18" t="str">
        <f t="shared" si="0"/>
        <v>20260709-027</v>
      </c>
      <c r="B31" s="19">
        <f t="shared" si="1"/>
        <v>46212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20260709-028</v>
      </c>
      <c r="B32" s="19">
        <f t="shared" si="1"/>
        <v>46212</v>
      </c>
      <c r="C32" s="20" t="s">
        <v>53</v>
      </c>
      <c r="D32" s="21"/>
      <c r="E32" s="22">
        <v>2</v>
      </c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20260709-029</v>
      </c>
      <c r="B33" s="19">
        <f t="shared" si="1"/>
        <v>46212</v>
      </c>
      <c r="C33" s="20" t="s">
        <v>54</v>
      </c>
      <c r="D33" s="31"/>
      <c r="E33" s="22"/>
      <c r="F33" s="23"/>
      <c r="G33" s="24">
        <v>1</v>
      </c>
      <c r="H33" s="25"/>
      <c r="I33" s="26"/>
      <c r="J33" s="27"/>
      <c r="K33" s="28"/>
      <c r="L33" s="15"/>
      <c r="M33" s="16"/>
      <c r="N33" s="15"/>
      <c r="O33" s="16"/>
      <c r="P33" s="17"/>
    </row>
    <row r="34" spans="1:16">
      <c r="A34" s="18" t="str">
        <f t="shared" si="0"/>
        <v>20260709-030</v>
      </c>
      <c r="B34" s="19">
        <f t="shared" si="1"/>
        <v>46212</v>
      </c>
      <c r="C34" s="20" t="s">
        <v>55</v>
      </c>
      <c r="D34" s="21"/>
      <c r="E34" s="22">
        <v>1</v>
      </c>
      <c r="F34" s="23"/>
      <c r="G34" s="24"/>
      <c r="H34" s="25"/>
      <c r="I34" s="26"/>
      <c r="J34" s="27"/>
      <c r="K34" s="28">
        <v>1</v>
      </c>
      <c r="L34" s="15"/>
      <c r="M34" s="16"/>
      <c r="N34" s="15"/>
      <c r="O34" s="16"/>
      <c r="P34" s="30"/>
    </row>
    <row r="35" spans="1:16">
      <c r="A35" s="18" t="str">
        <f t="shared" si="0"/>
        <v>20260709-031</v>
      </c>
      <c r="B35" s="19">
        <f t="shared" si="1"/>
        <v>46212</v>
      </c>
      <c r="C35" s="20" t="s">
        <v>56</v>
      </c>
      <c r="D35" s="31"/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20260709-032</v>
      </c>
      <c r="B36" s="19">
        <f t="shared" si="1"/>
        <v>46212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20260709-033</v>
      </c>
      <c r="B37" s="19">
        <f t="shared" si="1"/>
        <v>46212</v>
      </c>
      <c r="C37" s="20" t="s">
        <v>58</v>
      </c>
      <c r="D37" s="31"/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20260709-034</v>
      </c>
      <c r="B38" s="19">
        <f t="shared" ref="B38:B69" si="3">$B$5</f>
        <v>46212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20260709-035</v>
      </c>
      <c r="B39" s="19">
        <f t="shared" si="3"/>
        <v>46212</v>
      </c>
      <c r="C39" s="20" t="s">
        <v>60</v>
      </c>
      <c r="D39" s="31"/>
      <c r="E39" s="22"/>
      <c r="F39" s="23"/>
      <c r="G39" s="24"/>
      <c r="H39" s="25"/>
      <c r="I39" s="26"/>
      <c r="J39" s="27"/>
      <c r="K39" s="28"/>
      <c r="L39" s="15"/>
      <c r="M39" s="16"/>
      <c r="N39" s="15"/>
      <c r="O39" s="16"/>
      <c r="P39" s="17"/>
    </row>
    <row r="40" spans="1:16">
      <c r="A40" s="18" t="str">
        <f t="shared" si="2"/>
        <v>20260709-036</v>
      </c>
      <c r="B40" s="19">
        <f t="shared" si="3"/>
        <v>46212</v>
      </c>
      <c r="C40" s="20" t="s">
        <v>61</v>
      </c>
      <c r="D40" s="21"/>
      <c r="E40" s="22"/>
      <c r="F40" s="23">
        <v>2</v>
      </c>
      <c r="G40" s="24"/>
      <c r="H40" s="25"/>
      <c r="I40" s="26"/>
      <c r="J40" s="27"/>
      <c r="K40" s="28">
        <v>4</v>
      </c>
      <c r="L40" s="15"/>
      <c r="M40" s="16"/>
      <c r="N40" s="15"/>
      <c r="O40" s="16"/>
      <c r="P40" s="30"/>
    </row>
    <row r="41" spans="1:16">
      <c r="A41" s="18" t="str">
        <f t="shared" si="2"/>
        <v>20260709-037</v>
      </c>
      <c r="B41" s="19">
        <f t="shared" si="3"/>
        <v>46212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20260709-038</v>
      </c>
      <c r="B42" s="19">
        <f t="shared" si="3"/>
        <v>46212</v>
      </c>
      <c r="C42" s="20" t="s">
        <v>63</v>
      </c>
      <c r="D42" s="21"/>
      <c r="E42" s="22">
        <v>2</v>
      </c>
      <c r="F42" s="23"/>
      <c r="G42" s="24"/>
      <c r="H42" s="25"/>
      <c r="I42" s="26"/>
      <c r="J42" s="27"/>
      <c r="K42" s="28">
        <v>2</v>
      </c>
      <c r="L42" s="15"/>
      <c r="M42" s="16"/>
      <c r="N42" s="15"/>
      <c r="O42" s="16"/>
      <c r="P42" s="30"/>
    </row>
    <row r="43" spans="1:16">
      <c r="A43" s="18" t="str">
        <f t="shared" si="2"/>
        <v>20260709-039</v>
      </c>
      <c r="B43" s="19">
        <f t="shared" si="3"/>
        <v>46212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20260709-040</v>
      </c>
      <c r="B44" s="19">
        <f t="shared" si="3"/>
        <v>46212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20260709-041</v>
      </c>
      <c r="B45" s="19">
        <f t="shared" si="3"/>
        <v>46212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20260709-042</v>
      </c>
      <c r="B46" s="19">
        <f t="shared" si="3"/>
        <v>46212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20260709-043</v>
      </c>
      <c r="B47" s="19">
        <f t="shared" si="3"/>
        <v>46212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20260709-044</v>
      </c>
      <c r="B48" s="19">
        <f t="shared" si="3"/>
        <v>46212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20260709-045</v>
      </c>
      <c r="B49" s="19">
        <f t="shared" si="3"/>
        <v>46212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20260709-046</v>
      </c>
      <c r="B50" s="19">
        <f t="shared" si="3"/>
        <v>46212</v>
      </c>
      <c r="C50" s="20" t="s">
        <v>71</v>
      </c>
      <c r="D50" s="21"/>
      <c r="E50" s="22">
        <v>1</v>
      </c>
      <c r="F50" s="23"/>
      <c r="G50" s="24"/>
      <c r="H50" s="25"/>
      <c r="I50" s="26"/>
      <c r="J50" s="27"/>
      <c r="K50" s="28">
        <v>1</v>
      </c>
      <c r="L50" s="15"/>
      <c r="M50" s="16"/>
      <c r="N50" s="15"/>
      <c r="O50" s="16"/>
      <c r="P50" s="30"/>
    </row>
    <row r="51" spans="1:16">
      <c r="A51" s="18" t="str">
        <f t="shared" si="2"/>
        <v>20260709-047</v>
      </c>
      <c r="B51" s="19">
        <f t="shared" si="3"/>
        <v>46212</v>
      </c>
      <c r="C51" s="20" t="s">
        <v>72</v>
      </c>
      <c r="D51" s="31"/>
      <c r="E51" s="22"/>
      <c r="F51" s="23"/>
      <c r="G51" s="24">
        <v>1</v>
      </c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20260709-048</v>
      </c>
      <c r="B52" s="19">
        <f t="shared" si="3"/>
        <v>46212</v>
      </c>
      <c r="C52" s="20" t="s">
        <v>73</v>
      </c>
      <c r="D52" s="21"/>
      <c r="E52" s="22"/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20260709-049</v>
      </c>
      <c r="B53" s="19">
        <f t="shared" si="3"/>
        <v>46212</v>
      </c>
      <c r="C53" s="20" t="s">
        <v>74</v>
      </c>
      <c r="D53" s="31"/>
      <c r="E53" s="22"/>
      <c r="F53" s="23"/>
      <c r="G53" s="24"/>
      <c r="H53" s="25"/>
      <c r="I53" s="26">
        <v>5</v>
      </c>
      <c r="J53" s="27">
        <v>1</v>
      </c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20260709-050</v>
      </c>
      <c r="B54" s="19">
        <f t="shared" si="3"/>
        <v>46212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20260709-051</v>
      </c>
      <c r="B55" s="19">
        <f t="shared" si="3"/>
        <v>46212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20260709-052</v>
      </c>
      <c r="B56" s="19">
        <f t="shared" si="3"/>
        <v>46212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20260709-053</v>
      </c>
      <c r="B57" s="19">
        <f t="shared" si="3"/>
        <v>46212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20260709-054</v>
      </c>
      <c r="B58" s="19">
        <f t="shared" si="3"/>
        <v>46212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20260709-055</v>
      </c>
      <c r="B59" s="19">
        <f t="shared" si="3"/>
        <v>46212</v>
      </c>
      <c r="C59" s="20" t="s">
        <v>80</v>
      </c>
      <c r="D59" s="31"/>
      <c r="E59" s="22"/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20260709-056</v>
      </c>
      <c r="B60" s="19">
        <f t="shared" si="3"/>
        <v>46212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20260709-057</v>
      </c>
      <c r="B61" s="19">
        <f t="shared" si="3"/>
        <v>46212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20260709-058</v>
      </c>
      <c r="B62" s="19">
        <f t="shared" si="3"/>
        <v>46212</v>
      </c>
      <c r="C62" s="20" t="s">
        <v>83</v>
      </c>
      <c r="D62" s="31"/>
      <c r="E62" s="22"/>
      <c r="F62" s="23"/>
      <c r="G62" s="24"/>
      <c r="H62" s="25">
        <v>5</v>
      </c>
      <c r="I62" s="26">
        <v>4</v>
      </c>
      <c r="J62" s="27">
        <v>6</v>
      </c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20260709-059</v>
      </c>
      <c r="B63" s="19">
        <f t="shared" si="3"/>
        <v>46212</v>
      </c>
      <c r="C63" s="20" t="s">
        <v>84</v>
      </c>
      <c r="D63" s="21"/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20260709-060</v>
      </c>
      <c r="B64" s="19">
        <f t="shared" si="3"/>
        <v>46212</v>
      </c>
      <c r="C64" s="20" t="s">
        <v>85</v>
      </c>
      <c r="D64" s="31"/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20260709-061</v>
      </c>
      <c r="B65" s="19">
        <f t="shared" si="3"/>
        <v>46212</v>
      </c>
      <c r="C65" s="20" t="s">
        <v>86</v>
      </c>
      <c r="D65" s="21"/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20260709-062</v>
      </c>
      <c r="B66" s="19">
        <f t="shared" si="3"/>
        <v>46212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20260709-063</v>
      </c>
      <c r="B67" s="19">
        <f t="shared" si="3"/>
        <v>46212</v>
      </c>
      <c r="C67" s="20" t="s">
        <v>88</v>
      </c>
      <c r="D67" s="21"/>
      <c r="E67" s="22"/>
      <c r="F67" s="23"/>
      <c r="G67" s="24"/>
      <c r="H67" s="25"/>
      <c r="I67" s="26"/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20260709-064</v>
      </c>
      <c r="B68" s="19">
        <f t="shared" si="3"/>
        <v>46212</v>
      </c>
      <c r="C68" s="20" t="s">
        <v>89</v>
      </c>
      <c r="D68" s="31"/>
      <c r="E68" s="22"/>
      <c r="F68" s="23"/>
      <c r="G68" s="24"/>
      <c r="H68" s="25"/>
      <c r="I68" s="26"/>
      <c r="J68" s="27"/>
      <c r="K68" s="28"/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20260709-065</v>
      </c>
      <c r="B69" s="19">
        <f t="shared" si="3"/>
        <v>46212</v>
      </c>
      <c r="C69" s="20" t="s">
        <v>90</v>
      </c>
      <c r="D69" s="21"/>
      <c r="E69" s="22"/>
      <c r="F69" s="23"/>
      <c r="G69" s="24"/>
      <c r="H69" s="25"/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20260709-066</v>
      </c>
      <c r="B70" s="19">
        <f t="shared" ref="B70:B80" si="5">$B$5</f>
        <v>46212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20260709-067</v>
      </c>
      <c r="B71" s="19">
        <f t="shared" si="5"/>
        <v>46212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20260709-068</v>
      </c>
      <c r="B72" s="19">
        <f t="shared" si="5"/>
        <v>46212</v>
      </c>
      <c r="C72" s="20" t="s">
        <v>93</v>
      </c>
      <c r="D72" s="31"/>
      <c r="E72" s="22">
        <v>1</v>
      </c>
      <c r="F72" s="23"/>
      <c r="G72" s="24"/>
      <c r="H72" s="25"/>
      <c r="I72" s="26"/>
      <c r="J72" s="27"/>
      <c r="K72" s="28">
        <v>1</v>
      </c>
      <c r="L72" s="15"/>
      <c r="M72" s="16"/>
      <c r="N72" s="15"/>
      <c r="O72" s="16"/>
      <c r="P72" s="17"/>
    </row>
    <row r="73" spans="1:16">
      <c r="A73" s="18" t="str">
        <f t="shared" si="4"/>
        <v>20260709-069</v>
      </c>
      <c r="B73" s="19">
        <f t="shared" si="5"/>
        <v>46212</v>
      </c>
      <c r="C73" s="20" t="s">
        <v>94</v>
      </c>
      <c r="D73" s="21"/>
      <c r="E73" s="22">
        <v>1</v>
      </c>
      <c r="F73" s="23"/>
      <c r="G73" s="24"/>
      <c r="H73" s="25"/>
      <c r="I73" s="26"/>
      <c r="J73" s="27"/>
      <c r="K73" s="28">
        <v>1</v>
      </c>
      <c r="L73" s="15"/>
      <c r="M73" s="16"/>
      <c r="N73" s="15"/>
      <c r="O73" s="16"/>
      <c r="P73" s="30"/>
    </row>
    <row r="74" spans="1:16">
      <c r="A74" s="18" t="str">
        <f t="shared" si="4"/>
        <v>20260709-070</v>
      </c>
      <c r="B74" s="19">
        <f t="shared" si="5"/>
        <v>46212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1</v>
      </c>
      <c r="M74" s="16">
        <v>2</v>
      </c>
      <c r="N74" s="15"/>
      <c r="O74" s="16"/>
    </row>
    <row r="75" spans="1:16">
      <c r="A75" s="18" t="str">
        <f t="shared" si="4"/>
        <v>20260709-071</v>
      </c>
      <c r="B75" s="19">
        <f t="shared" si="5"/>
        <v>46212</v>
      </c>
      <c r="C75" s="20" t="s">
        <v>96</v>
      </c>
      <c r="D75" s="21"/>
      <c r="E75" s="22"/>
      <c r="F75" s="23"/>
      <c r="G75" s="24">
        <v>2</v>
      </c>
      <c r="H75" s="25"/>
      <c r="I75" s="26"/>
      <c r="J75" s="27"/>
      <c r="K75" s="28"/>
      <c r="L75" s="15"/>
      <c r="M75" s="16"/>
      <c r="N75" s="15"/>
      <c r="O75" s="16"/>
      <c r="P75" s="30"/>
    </row>
    <row r="76" spans="1:16">
      <c r="A76" s="18" t="str">
        <f t="shared" si="4"/>
        <v>20260709-072</v>
      </c>
      <c r="B76" s="19">
        <f t="shared" si="5"/>
        <v>46212</v>
      </c>
      <c r="C76" s="20" t="s">
        <v>97</v>
      </c>
      <c r="D76" s="31"/>
      <c r="E76" s="22"/>
      <c r="F76" s="23"/>
      <c r="G76" s="24"/>
      <c r="H76" s="25"/>
      <c r="I76" s="26"/>
      <c r="J76" s="27"/>
      <c r="K76" s="28"/>
      <c r="L76" s="15"/>
      <c r="M76" s="16"/>
      <c r="N76" s="15"/>
      <c r="O76" s="16"/>
    </row>
    <row r="77" spans="1:16">
      <c r="A77" s="18" t="str">
        <f t="shared" si="4"/>
        <v>20260709-073</v>
      </c>
      <c r="B77" s="19">
        <f t="shared" si="5"/>
        <v>46212</v>
      </c>
      <c r="C77" s="20" t="s">
        <v>98</v>
      </c>
      <c r="D77" s="21"/>
      <c r="E77" s="22"/>
      <c r="F77" s="23"/>
      <c r="G77" s="24"/>
      <c r="H77" s="25"/>
      <c r="I77" s="26"/>
      <c r="J77" s="27"/>
      <c r="K77" s="28"/>
      <c r="L77" s="34"/>
      <c r="M77" s="16"/>
      <c r="N77" s="15"/>
      <c r="O77" s="16"/>
      <c r="P77" s="30"/>
    </row>
    <row r="78" spans="1:16">
      <c r="A78" s="18" t="str">
        <f t="shared" si="4"/>
        <v>20260709-074</v>
      </c>
      <c r="B78" s="19">
        <f t="shared" si="5"/>
        <v>46212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20260709-075</v>
      </c>
      <c r="B79" s="19">
        <f t="shared" si="5"/>
        <v>46212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20260709-076</v>
      </c>
      <c r="B80" s="19">
        <f t="shared" si="5"/>
        <v>46212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80"/>
  <sheetViews>
    <sheetView topLeftCell="C54" zoomScale="85" zoomScaleNormal="85" workbookViewId="0">
      <selection activeCell="C14" sqref="C1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20260710-001</v>
      </c>
      <c r="B5" s="5">
        <v>46213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20260710-002</v>
      </c>
      <c r="B6" s="19">
        <f t="shared" ref="B6:B37" si="1">$B$5</f>
        <v>46213</v>
      </c>
      <c r="C6" s="20" t="s">
        <v>28</v>
      </c>
      <c r="D6" s="21">
        <v>10</v>
      </c>
      <c r="E6" s="22">
        <v>4</v>
      </c>
      <c r="F6" s="23"/>
      <c r="G6" s="24">
        <v>7</v>
      </c>
      <c r="H6" s="25"/>
      <c r="I6" s="26"/>
      <c r="J6" s="27"/>
      <c r="K6" s="28">
        <v>10</v>
      </c>
      <c r="L6" s="15"/>
      <c r="M6" s="29"/>
      <c r="N6" s="15"/>
      <c r="O6" s="29"/>
      <c r="P6" s="30"/>
    </row>
    <row r="7" spans="1:16">
      <c r="A7" s="18" t="str">
        <f t="shared" si="0"/>
        <v>20260710-003</v>
      </c>
      <c r="B7" s="19">
        <f t="shared" si="1"/>
        <v>46213</v>
      </c>
      <c r="C7" s="20" t="s">
        <v>29</v>
      </c>
      <c r="D7" s="31"/>
      <c r="E7" s="22"/>
      <c r="F7" s="23"/>
      <c r="G7" s="24"/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20260710-004</v>
      </c>
      <c r="B8" s="19">
        <f t="shared" si="1"/>
        <v>46213</v>
      </c>
      <c r="C8" s="20" t="s">
        <v>30</v>
      </c>
      <c r="D8" s="21"/>
      <c r="E8" s="22"/>
      <c r="F8" s="23"/>
      <c r="G8" s="24"/>
      <c r="H8" s="25"/>
      <c r="I8" s="26"/>
      <c r="J8" s="27"/>
      <c r="K8" s="28"/>
      <c r="L8" s="15"/>
      <c r="M8" s="16"/>
      <c r="N8" s="15"/>
      <c r="O8" s="16"/>
      <c r="P8" s="30"/>
    </row>
    <row r="9" spans="1:16">
      <c r="A9" s="18" t="str">
        <f t="shared" si="0"/>
        <v>20260710-005</v>
      </c>
      <c r="B9" s="19">
        <f t="shared" si="1"/>
        <v>46213</v>
      </c>
      <c r="C9" s="20" t="s">
        <v>31</v>
      </c>
      <c r="D9" s="31"/>
      <c r="E9" s="22"/>
      <c r="F9" s="23"/>
      <c r="G9" s="24">
        <v>1</v>
      </c>
      <c r="H9" s="25"/>
      <c r="I9" s="26"/>
      <c r="J9" s="27"/>
      <c r="K9" s="28"/>
      <c r="L9" s="15"/>
      <c r="M9" s="29"/>
      <c r="N9" s="15"/>
      <c r="O9" s="29"/>
      <c r="P9" s="17"/>
    </row>
    <row r="10" spans="1:16">
      <c r="A10" s="18" t="str">
        <f t="shared" si="0"/>
        <v>20260710-006</v>
      </c>
      <c r="B10" s="19">
        <f t="shared" si="1"/>
        <v>46213</v>
      </c>
      <c r="C10" s="20" t="s">
        <v>32</v>
      </c>
      <c r="D10" s="21"/>
      <c r="E10" s="22"/>
      <c r="F10" s="23"/>
      <c r="G10" s="24"/>
      <c r="H10" s="25"/>
      <c r="I10" s="26">
        <v>1</v>
      </c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20260710-007</v>
      </c>
      <c r="B11" s="19">
        <f t="shared" si="1"/>
        <v>46213</v>
      </c>
      <c r="C11" s="20" t="s">
        <v>33</v>
      </c>
      <c r="D11" s="31"/>
      <c r="E11" s="22"/>
      <c r="F11" s="23"/>
      <c r="G11" s="24"/>
      <c r="H11" s="25">
        <v>14</v>
      </c>
      <c r="I11" s="26">
        <v>34</v>
      </c>
      <c r="J11" s="27">
        <v>30</v>
      </c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20260710-008</v>
      </c>
      <c r="B12" s="19">
        <f t="shared" si="1"/>
        <v>46213</v>
      </c>
      <c r="C12" s="33" t="s">
        <v>34</v>
      </c>
      <c r="D12" s="21"/>
      <c r="E12" s="22">
        <v>25</v>
      </c>
      <c r="F12" s="23"/>
      <c r="G12" s="24">
        <v>25</v>
      </c>
      <c r="H12" s="25"/>
      <c r="I12" s="26"/>
      <c r="J12" s="27"/>
      <c r="K12" s="28">
        <v>9</v>
      </c>
      <c r="L12" s="15"/>
      <c r="M12" s="16"/>
      <c r="N12" s="15"/>
      <c r="O12" s="16"/>
      <c r="P12" s="30"/>
    </row>
    <row r="13" spans="1:16">
      <c r="A13" s="18" t="str">
        <f t="shared" si="0"/>
        <v>20260710-009</v>
      </c>
      <c r="B13" s="19">
        <f t="shared" si="1"/>
        <v>46213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20260710-010</v>
      </c>
      <c r="B14" s="19">
        <f t="shared" si="1"/>
        <v>46213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20260710-011</v>
      </c>
      <c r="B15" s="19">
        <f t="shared" si="1"/>
        <v>46213</v>
      </c>
      <c r="C15" s="33" t="s">
        <v>36</v>
      </c>
      <c r="D15" s="31"/>
      <c r="E15" s="22"/>
      <c r="F15" s="23"/>
      <c r="G15" s="24"/>
      <c r="H15" s="25">
        <v>5</v>
      </c>
      <c r="I15" s="26">
        <v>5</v>
      </c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20260710-012</v>
      </c>
      <c r="B16" s="19">
        <f t="shared" si="1"/>
        <v>46213</v>
      </c>
      <c r="C16" s="20" t="s">
        <v>37</v>
      </c>
      <c r="D16" s="21"/>
      <c r="E16" s="22"/>
      <c r="F16" s="23"/>
      <c r="G16" s="24"/>
      <c r="H16" s="25">
        <v>3</v>
      </c>
      <c r="I16" s="26">
        <v>3</v>
      </c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20260710-013</v>
      </c>
      <c r="B17" s="19">
        <f t="shared" si="1"/>
        <v>46213</v>
      </c>
      <c r="C17" s="20" t="s">
        <v>38</v>
      </c>
      <c r="D17" s="31"/>
      <c r="E17" s="22"/>
      <c r="F17" s="23"/>
      <c r="G17" s="24">
        <v>1</v>
      </c>
      <c r="H17" s="25"/>
      <c r="I17" s="26"/>
      <c r="J17" s="27">
        <v>2</v>
      </c>
      <c r="K17" s="28"/>
      <c r="L17" s="15"/>
      <c r="M17" s="16"/>
      <c r="N17" s="15"/>
      <c r="O17" s="16"/>
      <c r="P17" s="17"/>
    </row>
    <row r="18" spans="1:16">
      <c r="A18" s="18" t="str">
        <f t="shared" si="0"/>
        <v>20260710-014</v>
      </c>
      <c r="B18" s="19">
        <f t="shared" si="1"/>
        <v>46213</v>
      </c>
      <c r="C18" s="20" t="s">
        <v>39</v>
      </c>
      <c r="D18" s="21"/>
      <c r="E18" s="22"/>
      <c r="F18" s="23"/>
      <c r="G18" s="24"/>
      <c r="H18" s="25">
        <v>1</v>
      </c>
      <c r="I18" s="26">
        <v>1</v>
      </c>
      <c r="J18" s="27">
        <v>1</v>
      </c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20260710-015</v>
      </c>
      <c r="B19" s="19">
        <f t="shared" si="1"/>
        <v>46213</v>
      </c>
      <c r="C19" s="20" t="s">
        <v>40</v>
      </c>
      <c r="D19" s="31"/>
      <c r="E19" s="22">
        <v>1</v>
      </c>
      <c r="F19" s="23"/>
      <c r="G19" s="24"/>
      <c r="H19" s="25"/>
      <c r="I19" s="26"/>
      <c r="J19" s="27"/>
      <c r="K19" s="28">
        <v>4</v>
      </c>
      <c r="L19" s="15"/>
      <c r="M19" s="16"/>
      <c r="N19" s="15"/>
      <c r="O19" s="16"/>
      <c r="P19" s="17"/>
    </row>
    <row r="20" spans="1:16">
      <c r="A20" s="18" t="str">
        <f t="shared" si="0"/>
        <v>20260710-016</v>
      </c>
      <c r="B20" s="19">
        <f t="shared" si="1"/>
        <v>46213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20260710-017</v>
      </c>
      <c r="B21" s="19">
        <f t="shared" si="1"/>
        <v>46213</v>
      </c>
      <c r="C21" s="20" t="s">
        <v>42</v>
      </c>
      <c r="D21" s="31"/>
      <c r="E21" s="22"/>
      <c r="F21" s="23"/>
      <c r="G21" s="24"/>
      <c r="H21" s="25"/>
      <c r="I21" s="26"/>
      <c r="J21" s="27"/>
      <c r="K21" s="28"/>
      <c r="L21" s="15"/>
      <c r="M21" s="16"/>
      <c r="N21" s="15"/>
      <c r="O21" s="16"/>
      <c r="P21" s="17"/>
    </row>
    <row r="22" spans="1:16">
      <c r="A22" s="18" t="str">
        <f t="shared" si="0"/>
        <v>20260710-018</v>
      </c>
      <c r="B22" s="19">
        <f t="shared" si="1"/>
        <v>46213</v>
      </c>
      <c r="C22" s="20" t="s">
        <v>43</v>
      </c>
      <c r="D22" s="21"/>
      <c r="E22" s="22">
        <v>2</v>
      </c>
      <c r="F22" s="23"/>
      <c r="G22" s="24">
        <v>1</v>
      </c>
      <c r="H22" s="25">
        <v>6</v>
      </c>
      <c r="I22" s="26">
        <v>4</v>
      </c>
      <c r="J22" s="27"/>
      <c r="K22" s="28">
        <v>3</v>
      </c>
      <c r="L22" s="15"/>
      <c r="M22" s="16"/>
      <c r="N22" s="15"/>
      <c r="O22" s="16"/>
      <c r="P22" s="30"/>
    </row>
    <row r="23" spans="1:16">
      <c r="A23" s="18" t="str">
        <f t="shared" si="0"/>
        <v>20260710-019</v>
      </c>
      <c r="B23" s="19">
        <f t="shared" si="1"/>
        <v>46213</v>
      </c>
      <c r="C23" s="20" t="s">
        <v>44</v>
      </c>
      <c r="D23" s="31"/>
      <c r="E23" s="22"/>
      <c r="F23" s="23"/>
      <c r="G23" s="24"/>
      <c r="H23" s="25">
        <v>2</v>
      </c>
      <c r="I23" s="26">
        <v>3</v>
      </c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20260710-020</v>
      </c>
      <c r="B24" s="19">
        <f t="shared" si="1"/>
        <v>46213</v>
      </c>
      <c r="C24" s="20" t="s">
        <v>45</v>
      </c>
      <c r="D24" s="21"/>
      <c r="E24" s="22"/>
      <c r="F24" s="23"/>
      <c r="G24" s="24"/>
      <c r="H24" s="25">
        <v>4</v>
      </c>
      <c r="I24" s="26">
        <v>3</v>
      </c>
      <c r="J24" s="27"/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20260710-021</v>
      </c>
      <c r="B25" s="19">
        <f t="shared" si="1"/>
        <v>46213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20260710-022</v>
      </c>
      <c r="B26" s="19">
        <f t="shared" si="1"/>
        <v>46213</v>
      </c>
      <c r="C26" s="20" t="s">
        <v>47</v>
      </c>
      <c r="D26" s="21"/>
      <c r="E26" s="22"/>
      <c r="F26" s="23"/>
      <c r="G26" s="24"/>
      <c r="H26" s="25">
        <v>6</v>
      </c>
      <c r="I26" s="26">
        <v>2</v>
      </c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20260710-023</v>
      </c>
      <c r="B27" s="19">
        <f t="shared" si="1"/>
        <v>46213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20260710-024</v>
      </c>
      <c r="B28" s="19">
        <f t="shared" si="1"/>
        <v>46213</v>
      </c>
      <c r="C28" s="20" t="s">
        <v>49</v>
      </c>
      <c r="D28" s="21"/>
      <c r="E28" s="22">
        <v>1</v>
      </c>
      <c r="F28" s="23"/>
      <c r="G28" s="24"/>
      <c r="H28" s="25"/>
      <c r="I28" s="26"/>
      <c r="J28" s="27"/>
      <c r="K28" s="28">
        <v>3</v>
      </c>
      <c r="L28" s="15"/>
      <c r="M28" s="16"/>
      <c r="N28" s="15"/>
      <c r="O28" s="16"/>
      <c r="P28" s="30"/>
    </row>
    <row r="29" spans="1:16">
      <c r="A29" s="18" t="str">
        <f t="shared" si="0"/>
        <v>20260710-025</v>
      </c>
      <c r="B29" s="19">
        <f t="shared" si="1"/>
        <v>46213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20260710-026</v>
      </c>
      <c r="B30" s="19">
        <f t="shared" si="1"/>
        <v>46213</v>
      </c>
      <c r="C30" s="20" t="s">
        <v>51</v>
      </c>
      <c r="D30" s="21"/>
      <c r="E30" s="22">
        <v>2</v>
      </c>
      <c r="F30" s="23"/>
      <c r="G30" s="24">
        <v>1</v>
      </c>
      <c r="H30" s="25"/>
      <c r="I30" s="26"/>
      <c r="J30" s="27"/>
      <c r="K30" s="28"/>
      <c r="L30" s="15"/>
      <c r="M30" s="16"/>
      <c r="N30" s="15"/>
      <c r="O30" s="16"/>
      <c r="P30" s="30"/>
    </row>
    <row r="31" spans="1:16">
      <c r="A31" s="18" t="str">
        <f t="shared" si="0"/>
        <v>20260710-027</v>
      </c>
      <c r="B31" s="19">
        <f t="shared" si="1"/>
        <v>46213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20260710-028</v>
      </c>
      <c r="B32" s="19">
        <f t="shared" si="1"/>
        <v>46213</v>
      </c>
      <c r="C32" s="20" t="s">
        <v>53</v>
      </c>
      <c r="D32" s="21"/>
      <c r="E32" s="22">
        <v>5</v>
      </c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20260710-029</v>
      </c>
      <c r="B33" s="19">
        <f t="shared" si="1"/>
        <v>46213</v>
      </c>
      <c r="C33" s="20" t="s">
        <v>54</v>
      </c>
      <c r="D33" s="31"/>
      <c r="E33" s="22"/>
      <c r="F33" s="23"/>
      <c r="G33" s="24">
        <v>3</v>
      </c>
      <c r="H33" s="25"/>
      <c r="I33" s="26"/>
      <c r="J33" s="27"/>
      <c r="K33" s="28">
        <v>4</v>
      </c>
      <c r="L33" s="15"/>
      <c r="M33" s="16"/>
      <c r="N33" s="15"/>
      <c r="O33" s="16"/>
      <c r="P33" s="17"/>
    </row>
    <row r="34" spans="1:16">
      <c r="A34" s="18" t="str">
        <f t="shared" si="0"/>
        <v>20260710-030</v>
      </c>
      <c r="B34" s="19">
        <f t="shared" si="1"/>
        <v>46213</v>
      </c>
      <c r="C34" s="20" t="s">
        <v>55</v>
      </c>
      <c r="D34" s="21"/>
      <c r="E34" s="22">
        <v>1</v>
      </c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20260710-031</v>
      </c>
      <c r="B35" s="19">
        <f t="shared" si="1"/>
        <v>46213</v>
      </c>
      <c r="C35" s="20" t="s">
        <v>56</v>
      </c>
      <c r="D35" s="31">
        <v>10</v>
      </c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20260710-032</v>
      </c>
      <c r="B36" s="19">
        <f t="shared" si="1"/>
        <v>46213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20260710-033</v>
      </c>
      <c r="B37" s="19">
        <f t="shared" si="1"/>
        <v>46213</v>
      </c>
      <c r="C37" s="20" t="s">
        <v>58</v>
      </c>
      <c r="D37" s="31">
        <v>20</v>
      </c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20260710-034</v>
      </c>
      <c r="B38" s="19">
        <f t="shared" ref="B38:B69" si="3">$B$5</f>
        <v>46213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20260710-035</v>
      </c>
      <c r="B39" s="19">
        <f t="shared" si="3"/>
        <v>46213</v>
      </c>
      <c r="C39" s="20" t="s">
        <v>60</v>
      </c>
      <c r="D39" s="31"/>
      <c r="E39" s="22"/>
      <c r="F39" s="23"/>
      <c r="G39" s="24"/>
      <c r="H39" s="25"/>
      <c r="I39" s="26"/>
      <c r="J39" s="27"/>
      <c r="K39" s="28"/>
      <c r="L39" s="15"/>
      <c r="M39" s="16"/>
      <c r="N39" s="15"/>
      <c r="O39" s="16"/>
      <c r="P39" s="17"/>
    </row>
    <row r="40" spans="1:16">
      <c r="A40" s="18" t="str">
        <f t="shared" si="2"/>
        <v>20260710-036</v>
      </c>
      <c r="B40" s="19">
        <f t="shared" si="3"/>
        <v>46213</v>
      </c>
      <c r="C40" s="20" t="s">
        <v>61</v>
      </c>
      <c r="D40" s="21"/>
      <c r="E40" s="22"/>
      <c r="F40" s="23">
        <v>3</v>
      </c>
      <c r="G40" s="24"/>
      <c r="H40" s="25"/>
      <c r="I40" s="26"/>
      <c r="J40" s="27"/>
      <c r="K40" s="28">
        <v>1</v>
      </c>
      <c r="L40" s="15"/>
      <c r="M40" s="16"/>
      <c r="N40" s="15"/>
      <c r="O40" s="16"/>
      <c r="P40" s="30"/>
    </row>
    <row r="41" spans="1:16">
      <c r="A41" s="18" t="str">
        <f t="shared" si="2"/>
        <v>20260710-037</v>
      </c>
      <c r="B41" s="19">
        <f t="shared" si="3"/>
        <v>46213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20260710-038</v>
      </c>
      <c r="B42" s="19">
        <f t="shared" si="3"/>
        <v>46213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20260710-039</v>
      </c>
      <c r="B43" s="19">
        <f t="shared" si="3"/>
        <v>46213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20260710-040</v>
      </c>
      <c r="B44" s="19">
        <f t="shared" si="3"/>
        <v>46213</v>
      </c>
      <c r="C44" s="20" t="s">
        <v>65</v>
      </c>
      <c r="D44" s="21"/>
      <c r="E44" s="22">
        <v>1</v>
      </c>
      <c r="F44" s="23"/>
      <c r="G44" s="24"/>
      <c r="H44" s="25"/>
      <c r="I44" s="26"/>
      <c r="J44" s="27"/>
      <c r="K44" s="28">
        <v>1</v>
      </c>
      <c r="L44" s="15"/>
      <c r="M44" s="16"/>
      <c r="N44" s="15"/>
      <c r="O44" s="16"/>
      <c r="P44" s="30"/>
    </row>
    <row r="45" spans="1:16">
      <c r="A45" s="18" t="str">
        <f t="shared" si="2"/>
        <v>20260710-041</v>
      </c>
      <c r="B45" s="19">
        <f t="shared" si="3"/>
        <v>46213</v>
      </c>
      <c r="C45" s="20" t="s">
        <v>66</v>
      </c>
      <c r="D45" s="31"/>
      <c r="E45" s="22"/>
      <c r="F45" s="23"/>
      <c r="G45" s="24">
        <v>1</v>
      </c>
      <c r="H45" s="25"/>
      <c r="I45" s="26"/>
      <c r="J45" s="27"/>
      <c r="K45" s="28">
        <v>2</v>
      </c>
      <c r="L45" s="15"/>
      <c r="M45" s="16"/>
      <c r="N45" s="15"/>
      <c r="O45" s="16"/>
      <c r="P45" s="17"/>
    </row>
    <row r="46" spans="1:16">
      <c r="A46" s="18" t="str">
        <f t="shared" si="2"/>
        <v>20260710-042</v>
      </c>
      <c r="B46" s="19">
        <f t="shared" si="3"/>
        <v>46213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20260710-043</v>
      </c>
      <c r="B47" s="19">
        <f t="shared" si="3"/>
        <v>46213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20260710-044</v>
      </c>
      <c r="B48" s="19">
        <f t="shared" si="3"/>
        <v>46213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20260710-045</v>
      </c>
      <c r="B49" s="19">
        <f t="shared" si="3"/>
        <v>46213</v>
      </c>
      <c r="C49" s="20" t="s">
        <v>70</v>
      </c>
      <c r="D49" s="31"/>
      <c r="E49" s="22">
        <v>1</v>
      </c>
      <c r="F49" s="23"/>
      <c r="G49" s="24"/>
      <c r="H49" s="25"/>
      <c r="I49" s="26"/>
      <c r="J49" s="27"/>
      <c r="K49" s="28">
        <v>1</v>
      </c>
      <c r="L49" s="15"/>
      <c r="M49" s="16"/>
      <c r="N49" s="15"/>
      <c r="O49" s="16"/>
      <c r="P49" s="17"/>
    </row>
    <row r="50" spans="1:16">
      <c r="A50" s="18" t="str">
        <f t="shared" si="2"/>
        <v>20260710-046</v>
      </c>
      <c r="B50" s="19">
        <f t="shared" si="3"/>
        <v>46213</v>
      </c>
      <c r="C50" s="20" t="s">
        <v>71</v>
      </c>
      <c r="D50" s="21"/>
      <c r="E50" s="22"/>
      <c r="F50" s="23"/>
      <c r="G50" s="24"/>
      <c r="H50" s="25"/>
      <c r="I50" s="26"/>
      <c r="J50" s="27"/>
      <c r="K50" s="28"/>
      <c r="L50" s="15"/>
      <c r="M50" s="16"/>
      <c r="N50" s="15"/>
      <c r="O50" s="16"/>
      <c r="P50" s="30"/>
    </row>
    <row r="51" spans="1:16">
      <c r="A51" s="18" t="str">
        <f t="shared" si="2"/>
        <v>20260710-047</v>
      </c>
      <c r="B51" s="19">
        <f t="shared" si="3"/>
        <v>46213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20260710-048</v>
      </c>
      <c r="B52" s="19">
        <f t="shared" si="3"/>
        <v>46213</v>
      </c>
      <c r="C52" s="20" t="s">
        <v>73</v>
      </c>
      <c r="D52" s="21"/>
      <c r="E52" s="22">
        <v>1</v>
      </c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20260710-049</v>
      </c>
      <c r="B53" s="19">
        <f t="shared" si="3"/>
        <v>46213</v>
      </c>
      <c r="C53" s="20" t="s">
        <v>74</v>
      </c>
      <c r="D53" s="31"/>
      <c r="E53" s="22"/>
      <c r="F53" s="23"/>
      <c r="G53" s="24"/>
      <c r="H53" s="25">
        <v>2</v>
      </c>
      <c r="I53" s="26">
        <v>3</v>
      </c>
      <c r="J53" s="27">
        <v>1</v>
      </c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20260710-050</v>
      </c>
      <c r="B54" s="19">
        <f t="shared" si="3"/>
        <v>46213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20260710-051</v>
      </c>
      <c r="B55" s="19">
        <f t="shared" si="3"/>
        <v>46213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20260710-052</v>
      </c>
      <c r="B56" s="19">
        <f t="shared" si="3"/>
        <v>46213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20260710-053</v>
      </c>
      <c r="B57" s="19">
        <f t="shared" si="3"/>
        <v>46213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20260710-054</v>
      </c>
      <c r="B58" s="19">
        <f t="shared" si="3"/>
        <v>46213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20260710-055</v>
      </c>
      <c r="B59" s="19">
        <f t="shared" si="3"/>
        <v>46213</v>
      </c>
      <c r="C59" s="20" t="s">
        <v>80</v>
      </c>
      <c r="D59" s="31"/>
      <c r="E59" s="22">
        <v>1</v>
      </c>
      <c r="F59" s="23"/>
      <c r="G59" s="24"/>
      <c r="H59" s="25"/>
      <c r="I59" s="26"/>
      <c r="J59" s="27"/>
      <c r="K59" s="28">
        <v>1</v>
      </c>
      <c r="L59" s="15"/>
      <c r="M59" s="16"/>
      <c r="N59" s="15"/>
      <c r="O59" s="16"/>
      <c r="P59" s="17"/>
    </row>
    <row r="60" spans="1:16">
      <c r="A60" s="18" t="str">
        <f t="shared" si="2"/>
        <v>20260710-056</v>
      </c>
      <c r="B60" s="19">
        <f t="shared" si="3"/>
        <v>46213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20260710-057</v>
      </c>
      <c r="B61" s="19">
        <f t="shared" si="3"/>
        <v>46213</v>
      </c>
      <c r="C61" s="20" t="s">
        <v>82</v>
      </c>
      <c r="D61" s="21"/>
      <c r="E61" s="22">
        <v>2</v>
      </c>
      <c r="F61" s="23"/>
      <c r="G61" s="24">
        <v>2</v>
      </c>
      <c r="H61" s="25"/>
      <c r="I61" s="26"/>
      <c r="J61" s="27">
        <v>5</v>
      </c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20260710-058</v>
      </c>
      <c r="B62" s="19">
        <f t="shared" si="3"/>
        <v>46213</v>
      </c>
      <c r="C62" s="20" t="s">
        <v>83</v>
      </c>
      <c r="D62" s="31"/>
      <c r="E62" s="22"/>
      <c r="F62" s="23"/>
      <c r="G62" s="24"/>
      <c r="H62" s="25">
        <v>9</v>
      </c>
      <c r="I62" s="26"/>
      <c r="J62" s="27"/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20260710-059</v>
      </c>
      <c r="B63" s="19">
        <f t="shared" si="3"/>
        <v>46213</v>
      </c>
      <c r="C63" s="20" t="s">
        <v>84</v>
      </c>
      <c r="D63" s="21">
        <v>20</v>
      </c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20260710-060</v>
      </c>
      <c r="B64" s="19">
        <f t="shared" si="3"/>
        <v>46213</v>
      </c>
      <c r="C64" s="20" t="s">
        <v>85</v>
      </c>
      <c r="D64" s="31">
        <v>10</v>
      </c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20260710-061</v>
      </c>
      <c r="B65" s="19">
        <f t="shared" si="3"/>
        <v>46213</v>
      </c>
      <c r="C65" s="20" t="s">
        <v>86</v>
      </c>
      <c r="D65" s="21">
        <v>50</v>
      </c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20260710-062</v>
      </c>
      <c r="B66" s="19">
        <f t="shared" si="3"/>
        <v>46213</v>
      </c>
      <c r="C66" s="20" t="s">
        <v>87</v>
      </c>
      <c r="D66" s="31">
        <v>10</v>
      </c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20260710-063</v>
      </c>
      <c r="B67" s="19">
        <f t="shared" si="3"/>
        <v>46213</v>
      </c>
      <c r="C67" s="20" t="s">
        <v>88</v>
      </c>
      <c r="D67" s="21"/>
      <c r="E67" s="22"/>
      <c r="F67" s="23"/>
      <c r="G67" s="24"/>
      <c r="H67" s="25">
        <v>8</v>
      </c>
      <c r="I67" s="26">
        <v>8</v>
      </c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20260710-064</v>
      </c>
      <c r="B68" s="19">
        <f t="shared" si="3"/>
        <v>46213</v>
      </c>
      <c r="C68" s="20" t="s">
        <v>89</v>
      </c>
      <c r="D68" s="31"/>
      <c r="E68" s="22">
        <v>3</v>
      </c>
      <c r="F68" s="23"/>
      <c r="G68" s="24"/>
      <c r="H68" s="25"/>
      <c r="I68" s="26"/>
      <c r="J68" s="27"/>
      <c r="K68" s="28">
        <v>2</v>
      </c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20260710-065</v>
      </c>
      <c r="B69" s="19">
        <f t="shared" si="3"/>
        <v>46213</v>
      </c>
      <c r="C69" s="20" t="s">
        <v>90</v>
      </c>
      <c r="D69" s="21"/>
      <c r="E69" s="22"/>
      <c r="F69" s="23"/>
      <c r="G69" s="24"/>
      <c r="H69" s="25">
        <v>2</v>
      </c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20260710-066</v>
      </c>
      <c r="B70" s="19">
        <f t="shared" ref="B70:B80" si="5">$B$5</f>
        <v>46213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20260710-067</v>
      </c>
      <c r="B71" s="19">
        <f t="shared" si="5"/>
        <v>46213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20260710-068</v>
      </c>
      <c r="B72" s="19">
        <f t="shared" si="5"/>
        <v>46213</v>
      </c>
      <c r="C72" s="20" t="s">
        <v>93</v>
      </c>
      <c r="D72" s="31"/>
      <c r="E72" s="22">
        <v>1</v>
      </c>
      <c r="F72" s="23"/>
      <c r="G72" s="24"/>
      <c r="H72" s="25"/>
      <c r="I72" s="26"/>
      <c r="J72" s="27"/>
      <c r="K72" s="28"/>
      <c r="L72" s="15"/>
      <c r="M72" s="16"/>
      <c r="N72" s="15"/>
      <c r="O72" s="16"/>
      <c r="P72" s="17"/>
    </row>
    <row r="73" spans="1:16">
      <c r="A73" s="18" t="str">
        <f t="shared" si="4"/>
        <v>20260710-069</v>
      </c>
      <c r="B73" s="19">
        <f t="shared" si="5"/>
        <v>46213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20260710-070</v>
      </c>
      <c r="B74" s="19">
        <f t="shared" si="5"/>
        <v>46213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1</v>
      </c>
      <c r="M74" s="16">
        <v>3</v>
      </c>
      <c r="N74" s="15"/>
      <c r="O74" s="16"/>
    </row>
    <row r="75" spans="1:16">
      <c r="A75" s="18" t="str">
        <f t="shared" si="4"/>
        <v>20260710-071</v>
      </c>
      <c r="B75" s="19">
        <f t="shared" si="5"/>
        <v>46213</v>
      </c>
      <c r="C75" s="20" t="s">
        <v>96</v>
      </c>
      <c r="D75" s="21"/>
      <c r="E75" s="22"/>
      <c r="F75" s="23"/>
      <c r="G75" s="24">
        <v>1</v>
      </c>
      <c r="H75" s="25"/>
      <c r="I75" s="26"/>
      <c r="J75" s="27"/>
      <c r="K75" s="28">
        <v>2</v>
      </c>
      <c r="L75" s="15"/>
      <c r="M75" s="16"/>
      <c r="N75" s="15"/>
      <c r="O75" s="16"/>
      <c r="P75" s="30"/>
    </row>
    <row r="76" spans="1:16">
      <c r="A76" s="18" t="str">
        <f t="shared" si="4"/>
        <v>20260710-072</v>
      </c>
      <c r="B76" s="19">
        <f t="shared" si="5"/>
        <v>46213</v>
      </c>
      <c r="C76" s="20" t="s">
        <v>97</v>
      </c>
      <c r="D76" s="31"/>
      <c r="E76" s="22"/>
      <c r="F76" s="23"/>
      <c r="G76" s="24">
        <v>2</v>
      </c>
      <c r="H76" s="25"/>
      <c r="I76" s="26"/>
      <c r="J76" s="27"/>
      <c r="K76" s="28">
        <v>1</v>
      </c>
      <c r="L76" s="15"/>
      <c r="M76" s="16"/>
      <c r="N76" s="15"/>
      <c r="O76" s="16"/>
    </row>
    <row r="77" spans="1:16">
      <c r="A77" s="18" t="str">
        <f t="shared" si="4"/>
        <v>20260710-073</v>
      </c>
      <c r="B77" s="19">
        <f t="shared" si="5"/>
        <v>46213</v>
      </c>
      <c r="C77" s="20" t="s">
        <v>98</v>
      </c>
      <c r="D77" s="21"/>
      <c r="E77" s="22"/>
      <c r="F77" s="23"/>
      <c r="G77" s="24">
        <v>1</v>
      </c>
      <c r="H77" s="25"/>
      <c r="I77" s="26"/>
      <c r="J77" s="27"/>
      <c r="K77" s="28"/>
      <c r="L77" s="34">
        <v>2</v>
      </c>
      <c r="M77" s="16"/>
      <c r="N77" s="15"/>
      <c r="O77" s="16"/>
      <c r="P77" s="30"/>
    </row>
    <row r="78" spans="1:16">
      <c r="A78" s="18" t="str">
        <f t="shared" si="4"/>
        <v>20260710-074</v>
      </c>
      <c r="B78" s="19">
        <f t="shared" si="5"/>
        <v>46213</v>
      </c>
      <c r="C78" s="20" t="s">
        <v>99</v>
      </c>
      <c r="D78" s="31"/>
      <c r="E78" s="22">
        <v>1</v>
      </c>
      <c r="F78" s="23"/>
      <c r="G78" s="24"/>
      <c r="H78" s="25"/>
      <c r="I78" s="26"/>
      <c r="J78" s="27"/>
      <c r="K78" s="28">
        <v>2</v>
      </c>
      <c r="L78" s="15"/>
      <c r="M78" s="16"/>
      <c r="N78" s="15"/>
      <c r="O78" s="16"/>
    </row>
    <row r="79" spans="1:16">
      <c r="A79" s="18" t="str">
        <f t="shared" si="4"/>
        <v>20260710-075</v>
      </c>
      <c r="B79" s="19">
        <f t="shared" si="5"/>
        <v>46213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20260710-076</v>
      </c>
      <c r="B80" s="19">
        <f t="shared" si="5"/>
        <v>46213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80"/>
  <sheetViews>
    <sheetView topLeftCell="D63" zoomScale="85" zoomScaleNormal="85" workbookViewId="0">
      <selection activeCell="C14" sqref="C1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20260711-001</v>
      </c>
      <c r="B5" s="5">
        <v>46214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20260711-002</v>
      </c>
      <c r="B6" s="19">
        <f t="shared" ref="B6:B37" si="1">$B$5</f>
        <v>46214</v>
      </c>
      <c r="C6" s="20" t="s">
        <v>28</v>
      </c>
      <c r="D6" s="21">
        <v>15</v>
      </c>
      <c r="E6" s="22">
        <v>6</v>
      </c>
      <c r="F6" s="23"/>
      <c r="G6" s="24">
        <v>9</v>
      </c>
      <c r="H6" s="25"/>
      <c r="I6" s="26"/>
      <c r="J6" s="27"/>
      <c r="K6" s="28">
        <v>9</v>
      </c>
      <c r="L6" s="15"/>
      <c r="M6" s="29"/>
      <c r="N6" s="15"/>
      <c r="O6" s="29"/>
      <c r="P6" s="30"/>
    </row>
    <row r="7" spans="1:16">
      <c r="A7" s="18" t="str">
        <f t="shared" si="0"/>
        <v>20260711-003</v>
      </c>
      <c r="B7" s="19">
        <f t="shared" si="1"/>
        <v>46214</v>
      </c>
      <c r="C7" s="20" t="s">
        <v>29</v>
      </c>
      <c r="D7" s="31"/>
      <c r="E7" s="22">
        <v>1</v>
      </c>
      <c r="F7" s="23"/>
      <c r="G7" s="24">
        <v>1</v>
      </c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20260711-004</v>
      </c>
      <c r="B8" s="19">
        <f t="shared" si="1"/>
        <v>46214</v>
      </c>
      <c r="C8" s="20" t="s">
        <v>30</v>
      </c>
      <c r="D8" s="21"/>
      <c r="E8" s="22">
        <v>3</v>
      </c>
      <c r="F8" s="23"/>
      <c r="G8" s="24">
        <v>2</v>
      </c>
      <c r="H8" s="25"/>
      <c r="I8" s="26"/>
      <c r="J8" s="27"/>
      <c r="K8" s="28">
        <v>2</v>
      </c>
      <c r="L8" s="15"/>
      <c r="M8" s="16"/>
      <c r="N8" s="15"/>
      <c r="O8" s="16"/>
      <c r="P8" s="30"/>
    </row>
    <row r="9" spans="1:16">
      <c r="A9" s="18" t="str">
        <f t="shared" si="0"/>
        <v>20260711-005</v>
      </c>
      <c r="B9" s="19">
        <f t="shared" si="1"/>
        <v>46214</v>
      </c>
      <c r="C9" s="20" t="s">
        <v>31</v>
      </c>
      <c r="D9" s="31"/>
      <c r="E9" s="22"/>
      <c r="F9" s="23"/>
      <c r="G9" s="24">
        <v>1</v>
      </c>
      <c r="H9" s="25"/>
      <c r="I9" s="26"/>
      <c r="J9" s="27"/>
      <c r="K9" s="28">
        <v>1</v>
      </c>
      <c r="L9" s="15"/>
      <c r="M9" s="29"/>
      <c r="N9" s="15"/>
      <c r="O9" s="29"/>
      <c r="P9" s="17"/>
    </row>
    <row r="10" spans="1:16">
      <c r="A10" s="18" t="str">
        <f t="shared" si="0"/>
        <v>20260711-006</v>
      </c>
      <c r="B10" s="19">
        <f t="shared" si="1"/>
        <v>46214</v>
      </c>
      <c r="C10" s="20" t="s">
        <v>32</v>
      </c>
      <c r="D10" s="21"/>
      <c r="E10" s="22"/>
      <c r="F10" s="23"/>
      <c r="G10" s="24"/>
      <c r="H10" s="25"/>
      <c r="I10" s="26"/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20260711-007</v>
      </c>
      <c r="B11" s="19">
        <f t="shared" si="1"/>
        <v>46214</v>
      </c>
      <c r="C11" s="20" t="s">
        <v>33</v>
      </c>
      <c r="D11" s="31"/>
      <c r="E11" s="22"/>
      <c r="F11" s="23"/>
      <c r="G11" s="24"/>
      <c r="H11" s="25">
        <v>50</v>
      </c>
      <c r="I11" s="26">
        <v>50</v>
      </c>
      <c r="J11" s="27">
        <v>18</v>
      </c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20260711-008</v>
      </c>
      <c r="B12" s="19">
        <f t="shared" si="1"/>
        <v>46214</v>
      </c>
      <c r="C12" s="33" t="s">
        <v>34</v>
      </c>
      <c r="D12" s="21">
        <v>25</v>
      </c>
      <c r="E12" s="22"/>
      <c r="F12" s="23"/>
      <c r="G12" s="24"/>
      <c r="H12" s="25"/>
      <c r="I12" s="26"/>
      <c r="J12" s="27"/>
      <c r="K12" s="28">
        <v>25</v>
      </c>
      <c r="L12" s="15"/>
      <c r="M12" s="16"/>
      <c r="N12" s="15"/>
      <c r="O12" s="16"/>
      <c r="P12" s="30"/>
    </row>
    <row r="13" spans="1:16">
      <c r="A13" s="18" t="str">
        <f t="shared" si="0"/>
        <v>20260711-009</v>
      </c>
      <c r="B13" s="19">
        <f t="shared" si="1"/>
        <v>46214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20260711-010</v>
      </c>
      <c r="B14" s="19">
        <f t="shared" si="1"/>
        <v>46214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20260711-011</v>
      </c>
      <c r="B15" s="19">
        <f t="shared" si="1"/>
        <v>46214</v>
      </c>
      <c r="C15" s="33" t="s">
        <v>36</v>
      </c>
      <c r="D15" s="31"/>
      <c r="E15" s="22"/>
      <c r="F15" s="23"/>
      <c r="G15" s="24"/>
      <c r="H15" s="25">
        <v>5</v>
      </c>
      <c r="I15" s="26">
        <v>7</v>
      </c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20260711-012</v>
      </c>
      <c r="B16" s="19">
        <f t="shared" si="1"/>
        <v>46214</v>
      </c>
      <c r="C16" s="20" t="s">
        <v>37</v>
      </c>
      <c r="D16" s="21"/>
      <c r="E16" s="22"/>
      <c r="F16" s="23"/>
      <c r="G16" s="24"/>
      <c r="H16" s="25"/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20260711-013</v>
      </c>
      <c r="B17" s="19">
        <f t="shared" si="1"/>
        <v>46214</v>
      </c>
      <c r="C17" s="20" t="s">
        <v>38</v>
      </c>
      <c r="D17" s="31"/>
      <c r="E17" s="22"/>
      <c r="F17" s="23"/>
      <c r="G17" s="24">
        <v>1</v>
      </c>
      <c r="H17" s="25">
        <v>2</v>
      </c>
      <c r="I17" s="26"/>
      <c r="J17" s="27">
        <v>3</v>
      </c>
      <c r="K17" s="28"/>
      <c r="L17" s="15"/>
      <c r="M17" s="16"/>
      <c r="N17" s="15"/>
      <c r="O17" s="16"/>
      <c r="P17" s="17"/>
    </row>
    <row r="18" spans="1:16">
      <c r="A18" s="18" t="str">
        <f t="shared" si="0"/>
        <v>20260711-014</v>
      </c>
      <c r="B18" s="19">
        <f t="shared" si="1"/>
        <v>46214</v>
      </c>
      <c r="C18" s="20" t="s">
        <v>39</v>
      </c>
      <c r="D18" s="21"/>
      <c r="E18" s="22"/>
      <c r="F18" s="23"/>
      <c r="G18" s="24"/>
      <c r="H18" s="25"/>
      <c r="I18" s="26">
        <v>2</v>
      </c>
      <c r="J18" s="27"/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20260711-015</v>
      </c>
      <c r="B19" s="19">
        <f t="shared" si="1"/>
        <v>46214</v>
      </c>
      <c r="C19" s="20" t="s">
        <v>40</v>
      </c>
      <c r="D19" s="31"/>
      <c r="E19" s="22"/>
      <c r="F19" s="23"/>
      <c r="G19" s="24"/>
      <c r="H19" s="25"/>
      <c r="I19" s="26"/>
      <c r="J19" s="27"/>
      <c r="K19" s="28"/>
      <c r="L19" s="15"/>
      <c r="M19" s="16"/>
      <c r="N19" s="15"/>
      <c r="O19" s="16"/>
      <c r="P19" s="17"/>
    </row>
    <row r="20" spans="1:16">
      <c r="A20" s="18" t="str">
        <f t="shared" si="0"/>
        <v>20260711-016</v>
      </c>
      <c r="B20" s="19">
        <f t="shared" si="1"/>
        <v>46214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20260711-017</v>
      </c>
      <c r="B21" s="19">
        <f t="shared" si="1"/>
        <v>46214</v>
      </c>
      <c r="C21" s="20" t="s">
        <v>42</v>
      </c>
      <c r="D21" s="31"/>
      <c r="E21" s="22">
        <v>2</v>
      </c>
      <c r="F21" s="23"/>
      <c r="G21" s="24">
        <v>2</v>
      </c>
      <c r="H21" s="25"/>
      <c r="I21" s="26"/>
      <c r="J21" s="27"/>
      <c r="K21" s="28">
        <v>3</v>
      </c>
      <c r="L21" s="15"/>
      <c r="M21" s="16"/>
      <c r="N21" s="15"/>
      <c r="O21" s="16"/>
      <c r="P21" s="17"/>
    </row>
    <row r="22" spans="1:16">
      <c r="A22" s="18" t="str">
        <f t="shared" si="0"/>
        <v>20260711-018</v>
      </c>
      <c r="B22" s="19">
        <f t="shared" si="1"/>
        <v>46214</v>
      </c>
      <c r="C22" s="20" t="s">
        <v>43</v>
      </c>
      <c r="D22" s="21"/>
      <c r="E22" s="22">
        <v>1</v>
      </c>
      <c r="F22" s="23"/>
      <c r="G22" s="24"/>
      <c r="H22" s="25">
        <v>4</v>
      </c>
      <c r="I22" s="26">
        <v>9</v>
      </c>
      <c r="J22" s="27"/>
      <c r="K22" s="28">
        <v>1</v>
      </c>
      <c r="L22" s="15"/>
      <c r="M22" s="16"/>
      <c r="N22" s="15"/>
      <c r="O22" s="16"/>
      <c r="P22" s="30"/>
    </row>
    <row r="23" spans="1:16">
      <c r="A23" s="18" t="str">
        <f t="shared" si="0"/>
        <v>20260711-019</v>
      </c>
      <c r="B23" s="19">
        <f t="shared" si="1"/>
        <v>46214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20260711-020</v>
      </c>
      <c r="B24" s="19">
        <f t="shared" si="1"/>
        <v>46214</v>
      </c>
      <c r="C24" s="20" t="s">
        <v>45</v>
      </c>
      <c r="D24" s="21"/>
      <c r="E24" s="22"/>
      <c r="F24" s="23"/>
      <c r="G24" s="24"/>
      <c r="H24" s="25">
        <v>3</v>
      </c>
      <c r="I24" s="26">
        <v>8</v>
      </c>
      <c r="J24" s="27"/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20260711-021</v>
      </c>
      <c r="B25" s="19">
        <f t="shared" si="1"/>
        <v>46214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20260711-022</v>
      </c>
      <c r="B26" s="19">
        <f t="shared" si="1"/>
        <v>46214</v>
      </c>
      <c r="C26" s="20" t="s">
        <v>47</v>
      </c>
      <c r="D26" s="21"/>
      <c r="E26" s="22"/>
      <c r="F26" s="23"/>
      <c r="G26" s="24"/>
      <c r="H26" s="25"/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20260711-023</v>
      </c>
      <c r="B27" s="19">
        <f t="shared" si="1"/>
        <v>46214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20260711-024</v>
      </c>
      <c r="B28" s="19">
        <f t="shared" si="1"/>
        <v>46214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20260711-025</v>
      </c>
      <c r="B29" s="19">
        <f t="shared" si="1"/>
        <v>46214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20260711-026</v>
      </c>
      <c r="B30" s="19">
        <f t="shared" si="1"/>
        <v>46214</v>
      </c>
      <c r="C30" s="20" t="s">
        <v>51</v>
      </c>
      <c r="D30" s="21"/>
      <c r="E30" s="22"/>
      <c r="F30" s="23"/>
      <c r="G30" s="24"/>
      <c r="H30" s="25"/>
      <c r="I30" s="26"/>
      <c r="J30" s="27"/>
      <c r="K30" s="28"/>
      <c r="L30" s="15"/>
      <c r="M30" s="16"/>
      <c r="N30" s="15"/>
      <c r="O30" s="16"/>
      <c r="P30" s="30"/>
    </row>
    <row r="31" spans="1:16">
      <c r="A31" s="18" t="str">
        <f t="shared" si="0"/>
        <v>20260711-027</v>
      </c>
      <c r="B31" s="19">
        <f t="shared" si="1"/>
        <v>46214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20260711-028</v>
      </c>
      <c r="B32" s="19">
        <f t="shared" si="1"/>
        <v>46214</v>
      </c>
      <c r="C32" s="20" t="s">
        <v>53</v>
      </c>
      <c r="D32" s="21"/>
      <c r="E32" s="22"/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20260711-029</v>
      </c>
      <c r="B33" s="19">
        <f t="shared" si="1"/>
        <v>46214</v>
      </c>
      <c r="C33" s="20" t="s">
        <v>54</v>
      </c>
      <c r="D33" s="31"/>
      <c r="E33" s="22"/>
      <c r="F33" s="23"/>
      <c r="G33" s="24">
        <v>9</v>
      </c>
      <c r="H33" s="25"/>
      <c r="I33" s="26"/>
      <c r="J33" s="27"/>
      <c r="K33" s="28">
        <v>1</v>
      </c>
      <c r="L33" s="15"/>
      <c r="M33" s="16"/>
      <c r="N33" s="15"/>
      <c r="O33" s="16"/>
      <c r="P33" s="17"/>
    </row>
    <row r="34" spans="1:16">
      <c r="A34" s="18" t="str">
        <f t="shared" si="0"/>
        <v>20260711-030</v>
      </c>
      <c r="B34" s="19">
        <f t="shared" si="1"/>
        <v>46214</v>
      </c>
      <c r="C34" s="20" t="s">
        <v>55</v>
      </c>
      <c r="D34" s="21"/>
      <c r="E34" s="22"/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20260711-031</v>
      </c>
      <c r="B35" s="19">
        <f t="shared" si="1"/>
        <v>46214</v>
      </c>
      <c r="C35" s="20" t="s">
        <v>56</v>
      </c>
      <c r="D35" s="31">
        <v>10</v>
      </c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20260711-032</v>
      </c>
      <c r="B36" s="19">
        <f t="shared" si="1"/>
        <v>46214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20260711-033</v>
      </c>
      <c r="B37" s="19">
        <f t="shared" si="1"/>
        <v>46214</v>
      </c>
      <c r="C37" s="20" t="s">
        <v>58</v>
      </c>
      <c r="D37" s="31"/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20260711-034</v>
      </c>
      <c r="B38" s="19">
        <f t="shared" ref="B38:B69" si="3">$B$5</f>
        <v>46214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20260711-035</v>
      </c>
      <c r="B39" s="19">
        <f t="shared" si="3"/>
        <v>46214</v>
      </c>
      <c r="C39" s="20" t="s">
        <v>60</v>
      </c>
      <c r="D39" s="31"/>
      <c r="E39" s="22"/>
      <c r="F39" s="23"/>
      <c r="G39" s="24"/>
      <c r="H39" s="25"/>
      <c r="I39" s="26"/>
      <c r="J39" s="27"/>
      <c r="K39" s="28"/>
      <c r="L39" s="15"/>
      <c r="M39" s="16"/>
      <c r="N39" s="15"/>
      <c r="O39" s="16"/>
      <c r="P39" s="17"/>
    </row>
    <row r="40" spans="1:16">
      <c r="A40" s="18" t="str">
        <f t="shared" si="2"/>
        <v>20260711-036</v>
      </c>
      <c r="B40" s="19">
        <f t="shared" si="3"/>
        <v>46214</v>
      </c>
      <c r="C40" s="20" t="s">
        <v>61</v>
      </c>
      <c r="D40" s="21"/>
      <c r="E40" s="22"/>
      <c r="F40" s="23"/>
      <c r="G40" s="24"/>
      <c r="H40" s="25"/>
      <c r="I40" s="26"/>
      <c r="J40" s="27"/>
      <c r="K40" s="28"/>
      <c r="L40" s="15"/>
      <c r="M40" s="16"/>
      <c r="N40" s="15"/>
      <c r="O40" s="16"/>
      <c r="P40" s="30"/>
    </row>
    <row r="41" spans="1:16">
      <c r="A41" s="18" t="str">
        <f t="shared" si="2"/>
        <v>20260711-037</v>
      </c>
      <c r="B41" s="19">
        <f t="shared" si="3"/>
        <v>46214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20260711-038</v>
      </c>
      <c r="B42" s="19">
        <f t="shared" si="3"/>
        <v>46214</v>
      </c>
      <c r="C42" s="20" t="s">
        <v>63</v>
      </c>
      <c r="D42" s="21"/>
      <c r="E42" s="22">
        <v>2</v>
      </c>
      <c r="F42" s="23"/>
      <c r="G42" s="24"/>
      <c r="H42" s="25"/>
      <c r="I42" s="26"/>
      <c r="J42" s="27"/>
      <c r="K42" s="28">
        <v>2</v>
      </c>
      <c r="L42" s="15"/>
      <c r="M42" s="16"/>
      <c r="N42" s="15"/>
      <c r="O42" s="16"/>
      <c r="P42" s="30"/>
    </row>
    <row r="43" spans="1:16">
      <c r="A43" s="18" t="str">
        <f t="shared" si="2"/>
        <v>20260711-039</v>
      </c>
      <c r="B43" s="19">
        <f t="shared" si="3"/>
        <v>46214</v>
      </c>
      <c r="C43" s="20" t="s">
        <v>64</v>
      </c>
      <c r="D43" s="31"/>
      <c r="E43" s="22">
        <v>1</v>
      </c>
      <c r="F43" s="23"/>
      <c r="G43" s="24"/>
      <c r="H43" s="25"/>
      <c r="I43" s="26"/>
      <c r="J43" s="27"/>
      <c r="K43" s="28">
        <v>1</v>
      </c>
      <c r="L43" s="15"/>
      <c r="M43" s="16"/>
      <c r="N43" s="15"/>
      <c r="O43" s="16"/>
      <c r="P43" s="17"/>
    </row>
    <row r="44" spans="1:16">
      <c r="A44" s="18" t="str">
        <f t="shared" si="2"/>
        <v>20260711-040</v>
      </c>
      <c r="B44" s="19">
        <f t="shared" si="3"/>
        <v>46214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20260711-041</v>
      </c>
      <c r="B45" s="19">
        <f t="shared" si="3"/>
        <v>46214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20260711-042</v>
      </c>
      <c r="B46" s="19">
        <f t="shared" si="3"/>
        <v>46214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20260711-043</v>
      </c>
      <c r="B47" s="19">
        <f t="shared" si="3"/>
        <v>46214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20260711-044</v>
      </c>
      <c r="B48" s="19">
        <f t="shared" si="3"/>
        <v>46214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20260711-045</v>
      </c>
      <c r="B49" s="19">
        <f t="shared" si="3"/>
        <v>46214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20260711-046</v>
      </c>
      <c r="B50" s="19">
        <f t="shared" si="3"/>
        <v>46214</v>
      </c>
      <c r="C50" s="20" t="s">
        <v>71</v>
      </c>
      <c r="D50" s="21"/>
      <c r="E50" s="22">
        <v>1</v>
      </c>
      <c r="F50" s="23"/>
      <c r="G50" s="24"/>
      <c r="H50" s="25"/>
      <c r="I50" s="26"/>
      <c r="J50" s="27"/>
      <c r="K50" s="28">
        <v>1</v>
      </c>
      <c r="L50" s="15"/>
      <c r="M50" s="16"/>
      <c r="N50" s="15"/>
      <c r="O50" s="16"/>
      <c r="P50" s="30"/>
    </row>
    <row r="51" spans="1:16">
      <c r="A51" s="18" t="str">
        <f t="shared" si="2"/>
        <v>20260711-047</v>
      </c>
      <c r="B51" s="19">
        <f t="shared" si="3"/>
        <v>46214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20260711-048</v>
      </c>
      <c r="B52" s="19">
        <f t="shared" si="3"/>
        <v>46214</v>
      </c>
      <c r="C52" s="20" t="s">
        <v>73</v>
      </c>
      <c r="D52" s="21"/>
      <c r="E52" s="22"/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20260711-049</v>
      </c>
      <c r="B53" s="19">
        <f t="shared" si="3"/>
        <v>46214</v>
      </c>
      <c r="C53" s="20" t="s">
        <v>74</v>
      </c>
      <c r="D53" s="31"/>
      <c r="E53" s="22"/>
      <c r="F53" s="23"/>
      <c r="G53" s="24"/>
      <c r="H53" s="25">
        <v>1</v>
      </c>
      <c r="I53" s="26">
        <v>4</v>
      </c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20260711-050</v>
      </c>
      <c r="B54" s="19">
        <f t="shared" si="3"/>
        <v>46214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20260711-051</v>
      </c>
      <c r="B55" s="19">
        <f t="shared" si="3"/>
        <v>46214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20260711-052</v>
      </c>
      <c r="B56" s="19">
        <f t="shared" si="3"/>
        <v>46214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20260711-053</v>
      </c>
      <c r="B57" s="19">
        <f t="shared" si="3"/>
        <v>46214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20260711-054</v>
      </c>
      <c r="B58" s="19">
        <f t="shared" si="3"/>
        <v>46214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20260711-055</v>
      </c>
      <c r="B59" s="19">
        <f t="shared" si="3"/>
        <v>46214</v>
      </c>
      <c r="C59" s="20" t="s">
        <v>80</v>
      </c>
      <c r="D59" s="31"/>
      <c r="E59" s="22"/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20260711-056</v>
      </c>
      <c r="B60" s="19">
        <f t="shared" si="3"/>
        <v>46214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20260711-057</v>
      </c>
      <c r="B61" s="19">
        <f t="shared" si="3"/>
        <v>46214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20260711-058</v>
      </c>
      <c r="B62" s="19">
        <f t="shared" si="3"/>
        <v>46214</v>
      </c>
      <c r="C62" s="20" t="s">
        <v>83</v>
      </c>
      <c r="D62" s="31"/>
      <c r="E62" s="22"/>
      <c r="F62" s="23"/>
      <c r="G62" s="24"/>
      <c r="H62" s="25">
        <v>10</v>
      </c>
      <c r="I62" s="26">
        <v>5</v>
      </c>
      <c r="J62" s="27">
        <v>3</v>
      </c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20260711-059</v>
      </c>
      <c r="B63" s="19">
        <f t="shared" si="3"/>
        <v>46214</v>
      </c>
      <c r="C63" s="20" t="s">
        <v>84</v>
      </c>
      <c r="D63" s="21"/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20260711-060</v>
      </c>
      <c r="B64" s="19">
        <f t="shared" si="3"/>
        <v>46214</v>
      </c>
      <c r="C64" s="20" t="s">
        <v>85</v>
      </c>
      <c r="D64" s="31"/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20260711-061</v>
      </c>
      <c r="B65" s="19">
        <f t="shared" si="3"/>
        <v>46214</v>
      </c>
      <c r="C65" s="20" t="s">
        <v>86</v>
      </c>
      <c r="D65" s="21"/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20260711-062</v>
      </c>
      <c r="B66" s="19">
        <f t="shared" si="3"/>
        <v>46214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20260711-063</v>
      </c>
      <c r="B67" s="19">
        <f t="shared" si="3"/>
        <v>46214</v>
      </c>
      <c r="C67" s="20" t="s">
        <v>88</v>
      </c>
      <c r="D67" s="21"/>
      <c r="E67" s="22"/>
      <c r="F67" s="23"/>
      <c r="G67" s="24"/>
      <c r="H67" s="25"/>
      <c r="I67" s="26"/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20260711-064</v>
      </c>
      <c r="B68" s="19">
        <f t="shared" si="3"/>
        <v>46214</v>
      </c>
      <c r="C68" s="20" t="s">
        <v>89</v>
      </c>
      <c r="D68" s="31"/>
      <c r="E68" s="22"/>
      <c r="F68" s="23"/>
      <c r="G68" s="24"/>
      <c r="H68" s="25"/>
      <c r="I68" s="26"/>
      <c r="J68" s="27"/>
      <c r="K68" s="28"/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20260711-065</v>
      </c>
      <c r="B69" s="19">
        <f t="shared" si="3"/>
        <v>46214</v>
      </c>
      <c r="C69" s="20" t="s">
        <v>90</v>
      </c>
      <c r="D69" s="21"/>
      <c r="E69" s="22"/>
      <c r="F69" s="23"/>
      <c r="G69" s="24"/>
      <c r="H69" s="25"/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20260711-066</v>
      </c>
      <c r="B70" s="19">
        <f t="shared" ref="B70:B80" si="5">$B$5</f>
        <v>46214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20260711-067</v>
      </c>
      <c r="B71" s="19">
        <f t="shared" si="5"/>
        <v>46214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20260711-068</v>
      </c>
      <c r="B72" s="19">
        <f t="shared" si="5"/>
        <v>46214</v>
      </c>
      <c r="C72" s="20" t="s">
        <v>93</v>
      </c>
      <c r="D72" s="31"/>
      <c r="E72" s="22">
        <v>2</v>
      </c>
      <c r="F72" s="23"/>
      <c r="G72" s="24"/>
      <c r="H72" s="25"/>
      <c r="I72" s="26"/>
      <c r="J72" s="27"/>
      <c r="K72" s="28">
        <v>1</v>
      </c>
      <c r="L72" s="15"/>
      <c r="M72" s="16"/>
      <c r="N72" s="15"/>
      <c r="O72" s="16"/>
      <c r="P72" s="17"/>
    </row>
    <row r="73" spans="1:16">
      <c r="A73" s="18" t="str">
        <f t="shared" si="4"/>
        <v>20260711-069</v>
      </c>
      <c r="B73" s="19">
        <f t="shared" si="5"/>
        <v>46214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20260711-070</v>
      </c>
      <c r="B74" s="19">
        <f t="shared" si="5"/>
        <v>46214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2</v>
      </c>
      <c r="M74" s="16"/>
      <c r="N74" s="15"/>
      <c r="O74" s="16"/>
    </row>
    <row r="75" spans="1:16">
      <c r="A75" s="18" t="str">
        <f t="shared" si="4"/>
        <v>20260711-071</v>
      </c>
      <c r="B75" s="19">
        <f t="shared" si="5"/>
        <v>46214</v>
      </c>
      <c r="C75" s="20" t="s">
        <v>96</v>
      </c>
      <c r="D75" s="21"/>
      <c r="E75" s="22"/>
      <c r="F75" s="23"/>
      <c r="G75" s="24">
        <v>4</v>
      </c>
      <c r="H75" s="25"/>
      <c r="I75" s="26"/>
      <c r="J75" s="27"/>
      <c r="K75" s="28">
        <v>2</v>
      </c>
      <c r="L75" s="15"/>
      <c r="M75" s="16"/>
      <c r="N75" s="15"/>
      <c r="O75" s="16"/>
      <c r="P75" s="30"/>
    </row>
    <row r="76" spans="1:16">
      <c r="A76" s="18" t="str">
        <f t="shared" si="4"/>
        <v>20260711-072</v>
      </c>
      <c r="B76" s="19">
        <f t="shared" si="5"/>
        <v>46214</v>
      </c>
      <c r="C76" s="20" t="s">
        <v>97</v>
      </c>
      <c r="D76" s="31"/>
      <c r="E76" s="22"/>
      <c r="F76" s="23"/>
      <c r="G76" s="24">
        <v>1</v>
      </c>
      <c r="H76" s="25"/>
      <c r="I76" s="26"/>
      <c r="J76" s="27"/>
      <c r="K76" s="28"/>
      <c r="L76" s="15"/>
      <c r="M76" s="16"/>
      <c r="N76" s="15"/>
      <c r="O76" s="16"/>
    </row>
    <row r="77" spans="1:16">
      <c r="A77" s="18" t="str">
        <f t="shared" si="4"/>
        <v>20260711-073</v>
      </c>
      <c r="B77" s="19">
        <f t="shared" si="5"/>
        <v>46214</v>
      </c>
      <c r="C77" s="20" t="s">
        <v>98</v>
      </c>
      <c r="D77" s="21"/>
      <c r="E77" s="22"/>
      <c r="F77" s="23"/>
      <c r="G77" s="24">
        <v>2</v>
      </c>
      <c r="H77" s="25"/>
      <c r="I77" s="26"/>
      <c r="J77" s="27"/>
      <c r="K77" s="28"/>
      <c r="L77" s="34">
        <v>2</v>
      </c>
      <c r="M77" s="16"/>
      <c r="N77" s="15"/>
      <c r="O77" s="16"/>
      <c r="P77" s="30"/>
    </row>
    <row r="78" spans="1:16">
      <c r="A78" s="18" t="str">
        <f t="shared" si="4"/>
        <v>20260711-074</v>
      </c>
      <c r="B78" s="19">
        <f t="shared" si="5"/>
        <v>46214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20260711-075</v>
      </c>
      <c r="B79" s="19">
        <f t="shared" si="5"/>
        <v>46214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20260711-076</v>
      </c>
      <c r="B80" s="19">
        <f t="shared" si="5"/>
        <v>46214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80"/>
  <sheetViews>
    <sheetView workbookViewId="0">
      <selection activeCell="C14" sqref="C1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20260712-001</v>
      </c>
      <c r="B5" s="5">
        <v>46215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20260712-002</v>
      </c>
      <c r="B6" s="19">
        <f t="shared" ref="B6:B37" si="1">$B$5</f>
        <v>46215</v>
      </c>
      <c r="C6" s="20" t="s">
        <v>28</v>
      </c>
      <c r="D6" s="21"/>
      <c r="E6" s="22"/>
      <c r="F6" s="23"/>
      <c r="G6" s="24"/>
      <c r="H6" s="25"/>
      <c r="I6" s="26"/>
      <c r="J6" s="27"/>
      <c r="K6" s="28"/>
      <c r="L6" s="15"/>
      <c r="M6" s="29"/>
      <c r="N6" s="15"/>
      <c r="O6" s="29"/>
      <c r="P6" s="30"/>
    </row>
    <row r="7" spans="1:16">
      <c r="A7" s="18" t="str">
        <f t="shared" si="0"/>
        <v>20260712-003</v>
      </c>
      <c r="B7" s="19">
        <f t="shared" si="1"/>
        <v>46215</v>
      </c>
      <c r="C7" s="20" t="s">
        <v>29</v>
      </c>
      <c r="D7" s="31"/>
      <c r="E7" s="22"/>
      <c r="F7" s="23"/>
      <c r="G7" s="24"/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20260712-004</v>
      </c>
      <c r="B8" s="19">
        <f t="shared" si="1"/>
        <v>46215</v>
      </c>
      <c r="C8" s="20" t="s">
        <v>30</v>
      </c>
      <c r="D8" s="21"/>
      <c r="E8" s="22"/>
      <c r="F8" s="23"/>
      <c r="G8" s="24"/>
      <c r="H8" s="25"/>
      <c r="I8" s="26"/>
      <c r="J8" s="27"/>
      <c r="K8" s="28"/>
      <c r="L8" s="15"/>
      <c r="M8" s="16"/>
      <c r="N8" s="15"/>
      <c r="O8" s="16"/>
      <c r="P8" s="30"/>
    </row>
    <row r="9" spans="1:16">
      <c r="A9" s="18" t="str">
        <f t="shared" si="0"/>
        <v>20260712-005</v>
      </c>
      <c r="B9" s="19">
        <f t="shared" si="1"/>
        <v>46215</v>
      </c>
      <c r="C9" s="20" t="s">
        <v>31</v>
      </c>
      <c r="D9" s="31"/>
      <c r="E9" s="22"/>
      <c r="F9" s="23"/>
      <c r="G9" s="24"/>
      <c r="H9" s="25"/>
      <c r="I9" s="26"/>
      <c r="J9" s="27"/>
      <c r="K9" s="28"/>
      <c r="L9" s="15"/>
      <c r="M9" s="29"/>
      <c r="N9" s="15"/>
      <c r="O9" s="29"/>
      <c r="P9" s="17"/>
    </row>
    <row r="10" spans="1:16">
      <c r="A10" s="18" t="str">
        <f t="shared" si="0"/>
        <v>20260712-006</v>
      </c>
      <c r="B10" s="19">
        <f t="shared" si="1"/>
        <v>46215</v>
      </c>
      <c r="C10" s="20" t="s">
        <v>32</v>
      </c>
      <c r="D10" s="21"/>
      <c r="E10" s="22"/>
      <c r="F10" s="23"/>
      <c r="G10" s="24"/>
      <c r="H10" s="25"/>
      <c r="I10" s="26"/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20260712-007</v>
      </c>
      <c r="B11" s="19">
        <f t="shared" si="1"/>
        <v>46215</v>
      </c>
      <c r="C11" s="20" t="s">
        <v>33</v>
      </c>
      <c r="D11" s="31"/>
      <c r="E11" s="22"/>
      <c r="F11" s="23"/>
      <c r="G11" s="24"/>
      <c r="H11" s="25"/>
      <c r="I11" s="26"/>
      <c r="J11" s="27"/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20260712-008</v>
      </c>
      <c r="B12" s="19">
        <f t="shared" si="1"/>
        <v>46215</v>
      </c>
      <c r="C12" s="33" t="s">
        <v>34</v>
      </c>
      <c r="D12" s="21"/>
      <c r="E12" s="22"/>
      <c r="F12" s="23"/>
      <c r="G12" s="24"/>
      <c r="H12" s="25"/>
      <c r="I12" s="26"/>
      <c r="J12" s="27"/>
      <c r="K12" s="28"/>
      <c r="L12" s="15"/>
      <c r="M12" s="16"/>
      <c r="N12" s="15"/>
      <c r="O12" s="16"/>
      <c r="P12" s="30"/>
    </row>
    <row r="13" spans="1:16">
      <c r="A13" s="18" t="str">
        <f t="shared" si="0"/>
        <v>20260712-009</v>
      </c>
      <c r="B13" s="19">
        <f t="shared" si="1"/>
        <v>46215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20260712-010</v>
      </c>
      <c r="B14" s="19">
        <f t="shared" si="1"/>
        <v>46215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20260712-011</v>
      </c>
      <c r="B15" s="19">
        <f t="shared" si="1"/>
        <v>46215</v>
      </c>
      <c r="C15" s="33" t="s">
        <v>36</v>
      </c>
      <c r="D15" s="31"/>
      <c r="E15" s="22"/>
      <c r="F15" s="23"/>
      <c r="G15" s="24"/>
      <c r="H15" s="25"/>
      <c r="I15" s="26"/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20260712-012</v>
      </c>
      <c r="B16" s="19">
        <f t="shared" si="1"/>
        <v>46215</v>
      </c>
      <c r="C16" s="20" t="s">
        <v>37</v>
      </c>
      <c r="D16" s="21"/>
      <c r="E16" s="22"/>
      <c r="F16" s="23"/>
      <c r="G16" s="24"/>
      <c r="H16" s="25"/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20260712-013</v>
      </c>
      <c r="B17" s="19">
        <f t="shared" si="1"/>
        <v>46215</v>
      </c>
      <c r="C17" s="20" t="s">
        <v>38</v>
      </c>
      <c r="D17" s="31"/>
      <c r="E17" s="22"/>
      <c r="F17" s="23"/>
      <c r="G17" s="24"/>
      <c r="H17" s="25"/>
      <c r="I17" s="26"/>
      <c r="J17" s="27"/>
      <c r="K17" s="28"/>
      <c r="L17" s="15"/>
      <c r="M17" s="16"/>
      <c r="N17" s="15"/>
      <c r="O17" s="16"/>
      <c r="P17" s="17"/>
    </row>
    <row r="18" spans="1:16">
      <c r="A18" s="18" t="str">
        <f t="shared" si="0"/>
        <v>20260712-014</v>
      </c>
      <c r="B18" s="19">
        <f t="shared" si="1"/>
        <v>46215</v>
      </c>
      <c r="C18" s="20" t="s">
        <v>39</v>
      </c>
      <c r="D18" s="21"/>
      <c r="E18" s="22"/>
      <c r="F18" s="23"/>
      <c r="G18" s="24"/>
      <c r="H18" s="25"/>
      <c r="I18" s="26"/>
      <c r="J18" s="27"/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20260712-015</v>
      </c>
      <c r="B19" s="19">
        <f t="shared" si="1"/>
        <v>46215</v>
      </c>
      <c r="C19" s="20" t="s">
        <v>40</v>
      </c>
      <c r="D19" s="31"/>
      <c r="E19" s="22"/>
      <c r="F19" s="23"/>
      <c r="G19" s="24"/>
      <c r="H19" s="25"/>
      <c r="I19" s="26"/>
      <c r="J19" s="27"/>
      <c r="K19" s="28"/>
      <c r="L19" s="15"/>
      <c r="M19" s="16"/>
      <c r="N19" s="15"/>
      <c r="O19" s="16"/>
      <c r="P19" s="17"/>
    </row>
    <row r="20" spans="1:16">
      <c r="A20" s="18" t="str">
        <f t="shared" si="0"/>
        <v>20260712-016</v>
      </c>
      <c r="B20" s="19">
        <f t="shared" si="1"/>
        <v>46215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20260712-017</v>
      </c>
      <c r="B21" s="19">
        <f t="shared" si="1"/>
        <v>46215</v>
      </c>
      <c r="C21" s="20" t="s">
        <v>42</v>
      </c>
      <c r="D21" s="31"/>
      <c r="E21" s="22"/>
      <c r="F21" s="23"/>
      <c r="G21" s="24"/>
      <c r="H21" s="25"/>
      <c r="I21" s="26"/>
      <c r="J21" s="27"/>
      <c r="K21" s="28"/>
      <c r="L21" s="15"/>
      <c r="M21" s="16"/>
      <c r="N21" s="15"/>
      <c r="O21" s="16"/>
      <c r="P21" s="17"/>
    </row>
    <row r="22" spans="1:16">
      <c r="A22" s="18" t="str">
        <f t="shared" si="0"/>
        <v>20260712-018</v>
      </c>
      <c r="B22" s="19">
        <f t="shared" si="1"/>
        <v>46215</v>
      </c>
      <c r="C22" s="20" t="s">
        <v>43</v>
      </c>
      <c r="D22" s="21"/>
      <c r="E22" s="22"/>
      <c r="F22" s="23"/>
      <c r="G22" s="24"/>
      <c r="H22" s="25"/>
      <c r="I22" s="26"/>
      <c r="J22" s="27"/>
      <c r="K22" s="28"/>
      <c r="L22" s="15"/>
      <c r="M22" s="16"/>
      <c r="N22" s="15"/>
      <c r="O22" s="16"/>
      <c r="P22" s="30"/>
    </row>
    <row r="23" spans="1:16">
      <c r="A23" s="18" t="str">
        <f t="shared" si="0"/>
        <v>20260712-019</v>
      </c>
      <c r="B23" s="19">
        <f t="shared" si="1"/>
        <v>46215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20260712-020</v>
      </c>
      <c r="B24" s="19">
        <f t="shared" si="1"/>
        <v>46215</v>
      </c>
      <c r="C24" s="20" t="s">
        <v>45</v>
      </c>
      <c r="D24" s="21"/>
      <c r="E24" s="22"/>
      <c r="F24" s="23"/>
      <c r="G24" s="24"/>
      <c r="H24" s="25"/>
      <c r="I24" s="26"/>
      <c r="J24" s="27"/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20260712-021</v>
      </c>
      <c r="B25" s="19">
        <f t="shared" si="1"/>
        <v>46215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20260712-022</v>
      </c>
      <c r="B26" s="19">
        <f t="shared" si="1"/>
        <v>46215</v>
      </c>
      <c r="C26" s="20" t="s">
        <v>47</v>
      </c>
      <c r="D26" s="21"/>
      <c r="E26" s="22"/>
      <c r="F26" s="23"/>
      <c r="G26" s="24"/>
      <c r="H26" s="25"/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20260712-023</v>
      </c>
      <c r="B27" s="19">
        <f t="shared" si="1"/>
        <v>46215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20260712-024</v>
      </c>
      <c r="B28" s="19">
        <f t="shared" si="1"/>
        <v>46215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20260712-025</v>
      </c>
      <c r="B29" s="19">
        <f t="shared" si="1"/>
        <v>46215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20260712-026</v>
      </c>
      <c r="B30" s="19">
        <f t="shared" si="1"/>
        <v>46215</v>
      </c>
      <c r="C30" s="20" t="s">
        <v>51</v>
      </c>
      <c r="D30" s="21"/>
      <c r="E30" s="22"/>
      <c r="F30" s="23"/>
      <c r="G30" s="24"/>
      <c r="H30" s="25"/>
      <c r="I30" s="26"/>
      <c r="J30" s="27"/>
      <c r="K30" s="28"/>
      <c r="L30" s="15"/>
      <c r="M30" s="16"/>
      <c r="N30" s="15"/>
      <c r="O30" s="16"/>
      <c r="P30" s="30"/>
    </row>
    <row r="31" spans="1:16">
      <c r="A31" s="18" t="str">
        <f t="shared" si="0"/>
        <v>20260712-027</v>
      </c>
      <c r="B31" s="19">
        <f t="shared" si="1"/>
        <v>46215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20260712-028</v>
      </c>
      <c r="B32" s="19">
        <f t="shared" si="1"/>
        <v>46215</v>
      </c>
      <c r="C32" s="20" t="s">
        <v>53</v>
      </c>
      <c r="D32" s="21"/>
      <c r="E32" s="22"/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20260712-029</v>
      </c>
      <c r="B33" s="19">
        <f t="shared" si="1"/>
        <v>46215</v>
      </c>
      <c r="C33" s="20" t="s">
        <v>54</v>
      </c>
      <c r="D33" s="31"/>
      <c r="E33" s="22"/>
      <c r="F33" s="23"/>
      <c r="G33" s="24"/>
      <c r="H33" s="25"/>
      <c r="I33" s="26"/>
      <c r="J33" s="27"/>
      <c r="K33" s="28"/>
      <c r="L33" s="15"/>
      <c r="M33" s="16"/>
      <c r="N33" s="15"/>
      <c r="O33" s="16"/>
      <c r="P33" s="17"/>
    </row>
    <row r="34" spans="1:16">
      <c r="A34" s="18" t="str">
        <f t="shared" si="0"/>
        <v>20260712-030</v>
      </c>
      <c r="B34" s="19">
        <f t="shared" si="1"/>
        <v>46215</v>
      </c>
      <c r="C34" s="20" t="s">
        <v>55</v>
      </c>
      <c r="D34" s="21"/>
      <c r="E34" s="22"/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20260712-031</v>
      </c>
      <c r="B35" s="19">
        <f t="shared" si="1"/>
        <v>46215</v>
      </c>
      <c r="C35" s="20" t="s">
        <v>56</v>
      </c>
      <c r="D35" s="31"/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20260712-032</v>
      </c>
      <c r="B36" s="19">
        <f t="shared" si="1"/>
        <v>46215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20260712-033</v>
      </c>
      <c r="B37" s="19">
        <f t="shared" si="1"/>
        <v>46215</v>
      </c>
      <c r="C37" s="20" t="s">
        <v>58</v>
      </c>
      <c r="D37" s="31"/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20260712-034</v>
      </c>
      <c r="B38" s="19">
        <f t="shared" ref="B38:B69" si="3">$B$5</f>
        <v>46215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20260712-035</v>
      </c>
      <c r="B39" s="19">
        <f t="shared" si="3"/>
        <v>46215</v>
      </c>
      <c r="C39" s="20" t="s">
        <v>60</v>
      </c>
      <c r="D39" s="31"/>
      <c r="E39" s="22"/>
      <c r="F39" s="23"/>
      <c r="G39" s="24"/>
      <c r="H39" s="25"/>
      <c r="I39" s="26"/>
      <c r="J39" s="27"/>
      <c r="K39" s="28"/>
      <c r="L39" s="15"/>
      <c r="M39" s="16"/>
      <c r="N39" s="15"/>
      <c r="O39" s="16"/>
      <c r="P39" s="17"/>
    </row>
    <row r="40" spans="1:16">
      <c r="A40" s="18" t="str">
        <f t="shared" si="2"/>
        <v>20260712-036</v>
      </c>
      <c r="B40" s="19">
        <f t="shared" si="3"/>
        <v>46215</v>
      </c>
      <c r="C40" s="20" t="s">
        <v>61</v>
      </c>
      <c r="D40" s="21"/>
      <c r="E40" s="22"/>
      <c r="F40" s="23"/>
      <c r="G40" s="24"/>
      <c r="H40" s="25"/>
      <c r="I40" s="26"/>
      <c r="J40" s="27"/>
      <c r="K40" s="28"/>
      <c r="L40" s="15"/>
      <c r="M40" s="16"/>
      <c r="N40" s="15"/>
      <c r="O40" s="16"/>
      <c r="P40" s="30"/>
    </row>
    <row r="41" spans="1:16">
      <c r="A41" s="18" t="str">
        <f t="shared" si="2"/>
        <v>20260712-037</v>
      </c>
      <c r="B41" s="19">
        <f t="shared" si="3"/>
        <v>46215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20260712-038</v>
      </c>
      <c r="B42" s="19">
        <f t="shared" si="3"/>
        <v>46215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20260712-039</v>
      </c>
      <c r="B43" s="19">
        <f t="shared" si="3"/>
        <v>46215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20260712-040</v>
      </c>
      <c r="B44" s="19">
        <f t="shared" si="3"/>
        <v>46215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20260712-041</v>
      </c>
      <c r="B45" s="19">
        <f t="shared" si="3"/>
        <v>46215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20260712-042</v>
      </c>
      <c r="B46" s="19">
        <f t="shared" si="3"/>
        <v>46215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20260712-043</v>
      </c>
      <c r="B47" s="19">
        <f t="shared" si="3"/>
        <v>46215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20260712-044</v>
      </c>
      <c r="B48" s="19">
        <f t="shared" si="3"/>
        <v>46215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20260712-045</v>
      </c>
      <c r="B49" s="19">
        <f t="shared" si="3"/>
        <v>46215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20260712-046</v>
      </c>
      <c r="B50" s="19">
        <f t="shared" si="3"/>
        <v>46215</v>
      </c>
      <c r="C50" s="20" t="s">
        <v>71</v>
      </c>
      <c r="D50" s="21"/>
      <c r="E50" s="22"/>
      <c r="F50" s="23"/>
      <c r="G50" s="24"/>
      <c r="H50" s="25"/>
      <c r="I50" s="26"/>
      <c r="J50" s="27"/>
      <c r="K50" s="28"/>
      <c r="L50" s="15"/>
      <c r="M50" s="16"/>
      <c r="N50" s="15"/>
      <c r="O50" s="16"/>
      <c r="P50" s="30"/>
    </row>
    <row r="51" spans="1:16">
      <c r="A51" s="18" t="str">
        <f t="shared" si="2"/>
        <v>20260712-047</v>
      </c>
      <c r="B51" s="19">
        <f t="shared" si="3"/>
        <v>46215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20260712-048</v>
      </c>
      <c r="B52" s="19">
        <f t="shared" si="3"/>
        <v>46215</v>
      </c>
      <c r="C52" s="20" t="s">
        <v>73</v>
      </c>
      <c r="D52" s="21"/>
      <c r="E52" s="22"/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20260712-049</v>
      </c>
      <c r="B53" s="19">
        <f t="shared" si="3"/>
        <v>46215</v>
      </c>
      <c r="C53" s="20" t="s">
        <v>74</v>
      </c>
      <c r="D53" s="31"/>
      <c r="E53" s="22"/>
      <c r="F53" s="23"/>
      <c r="G53" s="24"/>
      <c r="H53" s="25"/>
      <c r="I53" s="26"/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20260712-050</v>
      </c>
      <c r="B54" s="19">
        <f t="shared" si="3"/>
        <v>46215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20260712-051</v>
      </c>
      <c r="B55" s="19">
        <f t="shared" si="3"/>
        <v>46215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20260712-052</v>
      </c>
      <c r="B56" s="19">
        <f t="shared" si="3"/>
        <v>46215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20260712-053</v>
      </c>
      <c r="B57" s="19">
        <f t="shared" si="3"/>
        <v>46215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20260712-054</v>
      </c>
      <c r="B58" s="19">
        <f t="shared" si="3"/>
        <v>46215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20260712-055</v>
      </c>
      <c r="B59" s="19">
        <f t="shared" si="3"/>
        <v>46215</v>
      </c>
      <c r="C59" s="20" t="s">
        <v>80</v>
      </c>
      <c r="D59" s="31"/>
      <c r="E59" s="22"/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20260712-056</v>
      </c>
      <c r="B60" s="19">
        <f t="shared" si="3"/>
        <v>46215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20260712-057</v>
      </c>
      <c r="B61" s="19">
        <f t="shared" si="3"/>
        <v>46215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20260712-058</v>
      </c>
      <c r="B62" s="19">
        <f t="shared" si="3"/>
        <v>46215</v>
      </c>
      <c r="C62" s="20" t="s">
        <v>83</v>
      </c>
      <c r="D62" s="31"/>
      <c r="E62" s="22"/>
      <c r="F62" s="23"/>
      <c r="G62" s="24"/>
      <c r="H62" s="25"/>
      <c r="I62" s="26"/>
      <c r="J62" s="27"/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20260712-059</v>
      </c>
      <c r="B63" s="19">
        <f t="shared" si="3"/>
        <v>46215</v>
      </c>
      <c r="C63" s="20" t="s">
        <v>84</v>
      </c>
      <c r="D63" s="21"/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20260712-060</v>
      </c>
      <c r="B64" s="19">
        <f t="shared" si="3"/>
        <v>46215</v>
      </c>
      <c r="C64" s="20" t="s">
        <v>85</v>
      </c>
      <c r="D64" s="31"/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20260712-061</v>
      </c>
      <c r="B65" s="19">
        <f t="shared" si="3"/>
        <v>46215</v>
      </c>
      <c r="C65" s="20" t="s">
        <v>86</v>
      </c>
      <c r="D65" s="21"/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20260712-062</v>
      </c>
      <c r="B66" s="19">
        <f t="shared" si="3"/>
        <v>46215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20260712-063</v>
      </c>
      <c r="B67" s="19">
        <f t="shared" si="3"/>
        <v>46215</v>
      </c>
      <c r="C67" s="20" t="s">
        <v>88</v>
      </c>
      <c r="D67" s="21"/>
      <c r="E67" s="22"/>
      <c r="F67" s="23"/>
      <c r="G67" s="24"/>
      <c r="H67" s="25"/>
      <c r="I67" s="26"/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20260712-064</v>
      </c>
      <c r="B68" s="19">
        <f t="shared" si="3"/>
        <v>46215</v>
      </c>
      <c r="C68" s="20" t="s">
        <v>89</v>
      </c>
      <c r="D68" s="31"/>
      <c r="E68" s="22"/>
      <c r="F68" s="23"/>
      <c r="G68" s="24"/>
      <c r="H68" s="25"/>
      <c r="I68" s="26"/>
      <c r="J68" s="27"/>
      <c r="K68" s="28"/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20260712-065</v>
      </c>
      <c r="B69" s="19">
        <f t="shared" si="3"/>
        <v>46215</v>
      </c>
      <c r="C69" s="20" t="s">
        <v>90</v>
      </c>
      <c r="D69" s="21"/>
      <c r="E69" s="22"/>
      <c r="F69" s="23"/>
      <c r="G69" s="24"/>
      <c r="H69" s="25"/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20260712-066</v>
      </c>
      <c r="B70" s="19">
        <f t="shared" ref="B70:B80" si="5">$B$5</f>
        <v>46215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20260712-067</v>
      </c>
      <c r="B71" s="19">
        <f t="shared" si="5"/>
        <v>46215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20260712-068</v>
      </c>
      <c r="B72" s="19">
        <f t="shared" si="5"/>
        <v>46215</v>
      </c>
      <c r="C72" s="20" t="s">
        <v>93</v>
      </c>
      <c r="D72" s="31"/>
      <c r="E72" s="22"/>
      <c r="F72" s="23"/>
      <c r="G72" s="24"/>
      <c r="H72" s="25"/>
      <c r="I72" s="26"/>
      <c r="J72" s="27"/>
      <c r="K72" s="28"/>
      <c r="L72" s="15"/>
      <c r="M72" s="16"/>
      <c r="N72" s="15"/>
      <c r="O72" s="16"/>
      <c r="P72" s="17"/>
    </row>
    <row r="73" spans="1:16">
      <c r="A73" s="18" t="str">
        <f t="shared" si="4"/>
        <v>20260712-069</v>
      </c>
      <c r="B73" s="19">
        <f t="shared" si="5"/>
        <v>46215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20260712-070</v>
      </c>
      <c r="B74" s="19">
        <f t="shared" si="5"/>
        <v>46215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/>
      <c r="M74" s="16"/>
      <c r="N74" s="15"/>
      <c r="O74" s="16"/>
    </row>
    <row r="75" spans="1:16">
      <c r="A75" s="18" t="str">
        <f t="shared" si="4"/>
        <v>20260712-071</v>
      </c>
      <c r="B75" s="19">
        <f t="shared" si="5"/>
        <v>46215</v>
      </c>
      <c r="C75" s="20" t="s">
        <v>96</v>
      </c>
      <c r="D75" s="21"/>
      <c r="E75" s="22"/>
      <c r="F75" s="23"/>
      <c r="G75" s="24"/>
      <c r="H75" s="25"/>
      <c r="I75" s="26"/>
      <c r="J75" s="27"/>
      <c r="K75" s="28"/>
      <c r="L75" s="15"/>
      <c r="M75" s="16"/>
      <c r="N75" s="15"/>
      <c r="O75" s="16"/>
      <c r="P75" s="30"/>
    </row>
    <row r="76" spans="1:16">
      <c r="A76" s="18" t="str">
        <f t="shared" si="4"/>
        <v>20260712-072</v>
      </c>
      <c r="B76" s="19">
        <f t="shared" si="5"/>
        <v>46215</v>
      </c>
      <c r="C76" s="20" t="s">
        <v>97</v>
      </c>
      <c r="D76" s="31"/>
      <c r="E76" s="22"/>
      <c r="F76" s="23"/>
      <c r="G76" s="24"/>
      <c r="H76" s="25"/>
      <c r="I76" s="26"/>
      <c r="J76" s="27"/>
      <c r="K76" s="28"/>
      <c r="L76" s="15"/>
      <c r="M76" s="16"/>
      <c r="N76" s="15"/>
      <c r="O76" s="16"/>
    </row>
    <row r="77" spans="1:16">
      <c r="A77" s="18" t="str">
        <f t="shared" si="4"/>
        <v>20260712-073</v>
      </c>
      <c r="B77" s="19">
        <f t="shared" si="5"/>
        <v>46215</v>
      </c>
      <c r="C77" s="20" t="s">
        <v>98</v>
      </c>
      <c r="D77" s="21"/>
      <c r="E77" s="22"/>
      <c r="F77" s="23"/>
      <c r="G77" s="24"/>
      <c r="H77" s="25"/>
      <c r="I77" s="26"/>
      <c r="J77" s="27"/>
      <c r="K77" s="28"/>
      <c r="L77" s="34"/>
      <c r="M77" s="16"/>
      <c r="N77" s="15"/>
      <c r="O77" s="16"/>
      <c r="P77" s="30"/>
    </row>
    <row r="78" spans="1:16">
      <c r="A78" s="18" t="str">
        <f t="shared" si="4"/>
        <v>20260712-074</v>
      </c>
      <c r="B78" s="19">
        <f t="shared" si="5"/>
        <v>46215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20260712-075</v>
      </c>
      <c r="B79" s="19">
        <f t="shared" si="5"/>
        <v>46215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20260712-076</v>
      </c>
      <c r="B80" s="19">
        <f t="shared" si="5"/>
        <v>46215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80"/>
  <sheetViews>
    <sheetView topLeftCell="C1" zoomScale="85" zoomScaleNormal="85" workbookViewId="0">
      <selection activeCell="C14" sqref="C1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20260713-001</v>
      </c>
      <c r="B5" s="5">
        <v>46216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20260713-002</v>
      </c>
      <c r="B6" s="19">
        <f t="shared" ref="B6:B37" si="1">$B$5</f>
        <v>46216</v>
      </c>
      <c r="C6" s="20" t="s">
        <v>28</v>
      </c>
      <c r="D6" s="21">
        <v>20</v>
      </c>
      <c r="E6" s="22">
        <v>4</v>
      </c>
      <c r="F6" s="23"/>
      <c r="G6" s="24">
        <v>6</v>
      </c>
      <c r="H6" s="25"/>
      <c r="I6" s="26"/>
      <c r="J6" s="27"/>
      <c r="K6" s="28">
        <v>14</v>
      </c>
      <c r="L6" s="15"/>
      <c r="M6" s="29"/>
      <c r="N6" s="15"/>
      <c r="O6" s="29"/>
      <c r="P6" s="30"/>
    </row>
    <row r="7" spans="1:16">
      <c r="A7" s="18" t="str">
        <f t="shared" si="0"/>
        <v>20260713-003</v>
      </c>
      <c r="B7" s="19">
        <f t="shared" si="1"/>
        <v>46216</v>
      </c>
      <c r="C7" s="20" t="s">
        <v>29</v>
      </c>
      <c r="D7" s="31"/>
      <c r="E7" s="22"/>
      <c r="F7" s="23"/>
      <c r="G7" s="24"/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20260713-004</v>
      </c>
      <c r="B8" s="19">
        <f t="shared" si="1"/>
        <v>46216</v>
      </c>
      <c r="C8" s="20" t="s">
        <v>30</v>
      </c>
      <c r="D8" s="21"/>
      <c r="E8" s="22"/>
      <c r="F8" s="23"/>
      <c r="G8" s="24"/>
      <c r="H8" s="25"/>
      <c r="I8" s="26"/>
      <c r="J8" s="27"/>
      <c r="K8" s="28"/>
      <c r="L8" s="15"/>
      <c r="M8" s="16"/>
      <c r="N8" s="15"/>
      <c r="O8" s="16"/>
      <c r="P8" s="30"/>
    </row>
    <row r="9" spans="1:16">
      <c r="A9" s="18" t="str">
        <f t="shared" si="0"/>
        <v>20260713-005</v>
      </c>
      <c r="B9" s="19">
        <f t="shared" si="1"/>
        <v>46216</v>
      </c>
      <c r="C9" s="20" t="s">
        <v>31</v>
      </c>
      <c r="D9" s="31"/>
      <c r="E9" s="22"/>
      <c r="F9" s="23"/>
      <c r="G9" s="24"/>
      <c r="H9" s="25"/>
      <c r="I9" s="26"/>
      <c r="J9" s="27"/>
      <c r="K9" s="28"/>
      <c r="L9" s="15"/>
      <c r="M9" s="29"/>
      <c r="N9" s="15"/>
      <c r="O9" s="29"/>
      <c r="P9" s="17"/>
    </row>
    <row r="10" spans="1:16">
      <c r="A10" s="18" t="str">
        <f t="shared" si="0"/>
        <v>20260713-006</v>
      </c>
      <c r="B10" s="19">
        <f t="shared" si="1"/>
        <v>46216</v>
      </c>
      <c r="C10" s="20" t="s">
        <v>32</v>
      </c>
      <c r="D10" s="21"/>
      <c r="E10" s="22"/>
      <c r="F10" s="23"/>
      <c r="G10" s="24"/>
      <c r="H10" s="25"/>
      <c r="I10" s="26">
        <v>2</v>
      </c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20260713-007</v>
      </c>
      <c r="B11" s="19">
        <f t="shared" si="1"/>
        <v>46216</v>
      </c>
      <c r="C11" s="20" t="s">
        <v>33</v>
      </c>
      <c r="D11" s="31"/>
      <c r="E11" s="22">
        <v>4</v>
      </c>
      <c r="F11" s="23"/>
      <c r="G11" s="24"/>
      <c r="H11" s="25">
        <v>10</v>
      </c>
      <c r="I11" s="26">
        <v>10</v>
      </c>
      <c r="J11" s="27"/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20260713-008</v>
      </c>
      <c r="B12" s="19">
        <f t="shared" si="1"/>
        <v>46216</v>
      </c>
      <c r="C12" s="33" t="s">
        <v>34</v>
      </c>
      <c r="D12" s="21">
        <v>10</v>
      </c>
      <c r="E12" s="22"/>
      <c r="F12" s="23"/>
      <c r="G12" s="24">
        <v>6</v>
      </c>
      <c r="H12" s="25"/>
      <c r="I12" s="26"/>
      <c r="J12" s="27"/>
      <c r="K12" s="28">
        <v>24</v>
      </c>
      <c r="L12" s="15"/>
      <c r="M12" s="16"/>
      <c r="N12" s="15"/>
      <c r="O12" s="16"/>
      <c r="P12" s="30"/>
    </row>
    <row r="13" spans="1:16">
      <c r="A13" s="18" t="str">
        <f t="shared" si="0"/>
        <v>20260713-009</v>
      </c>
      <c r="B13" s="19">
        <f t="shared" si="1"/>
        <v>46216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20260713-010</v>
      </c>
      <c r="B14" s="19">
        <f t="shared" si="1"/>
        <v>46216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20260713-011</v>
      </c>
      <c r="B15" s="19">
        <f t="shared" si="1"/>
        <v>46216</v>
      </c>
      <c r="C15" s="33" t="s">
        <v>36</v>
      </c>
      <c r="D15" s="31"/>
      <c r="E15" s="22"/>
      <c r="F15" s="23"/>
      <c r="G15" s="24"/>
      <c r="H15" s="25">
        <v>4</v>
      </c>
      <c r="I15" s="26">
        <v>8</v>
      </c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20260713-012</v>
      </c>
      <c r="B16" s="19">
        <f t="shared" si="1"/>
        <v>46216</v>
      </c>
      <c r="C16" s="20" t="s">
        <v>37</v>
      </c>
      <c r="D16" s="21"/>
      <c r="E16" s="22"/>
      <c r="F16" s="23"/>
      <c r="G16" s="24"/>
      <c r="H16" s="25">
        <v>6</v>
      </c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20260713-013</v>
      </c>
      <c r="B17" s="19">
        <f t="shared" si="1"/>
        <v>46216</v>
      </c>
      <c r="C17" s="20" t="s">
        <v>38</v>
      </c>
      <c r="D17" s="31"/>
      <c r="E17" s="22"/>
      <c r="F17" s="23"/>
      <c r="G17" s="24">
        <v>1</v>
      </c>
      <c r="H17" s="25"/>
      <c r="I17" s="26"/>
      <c r="J17" s="27">
        <v>1</v>
      </c>
      <c r="K17" s="28">
        <v>2</v>
      </c>
      <c r="L17" s="15"/>
      <c r="M17" s="16"/>
      <c r="N17" s="15"/>
      <c r="O17" s="16"/>
      <c r="P17" s="17"/>
    </row>
    <row r="18" spans="1:16">
      <c r="A18" s="18" t="str">
        <f t="shared" si="0"/>
        <v>20260713-014</v>
      </c>
      <c r="B18" s="19">
        <f t="shared" si="1"/>
        <v>46216</v>
      </c>
      <c r="C18" s="20" t="s">
        <v>39</v>
      </c>
      <c r="D18" s="21"/>
      <c r="E18" s="22"/>
      <c r="F18" s="23"/>
      <c r="G18" s="24"/>
      <c r="H18" s="25">
        <v>1</v>
      </c>
      <c r="I18" s="26">
        <v>1</v>
      </c>
      <c r="J18" s="27">
        <v>2</v>
      </c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20260713-015</v>
      </c>
      <c r="B19" s="19">
        <f t="shared" si="1"/>
        <v>46216</v>
      </c>
      <c r="C19" s="20" t="s">
        <v>40</v>
      </c>
      <c r="D19" s="31"/>
      <c r="E19" s="22">
        <v>2</v>
      </c>
      <c r="F19" s="23"/>
      <c r="G19" s="24"/>
      <c r="H19" s="25"/>
      <c r="I19" s="26">
        <v>3</v>
      </c>
      <c r="J19" s="27"/>
      <c r="K19" s="28">
        <v>1</v>
      </c>
      <c r="L19" s="15"/>
      <c r="M19" s="16"/>
      <c r="N19" s="15"/>
      <c r="O19" s="16"/>
      <c r="P19" s="17"/>
    </row>
    <row r="20" spans="1:16">
      <c r="A20" s="18" t="str">
        <f t="shared" si="0"/>
        <v>20260713-016</v>
      </c>
      <c r="B20" s="19">
        <f t="shared" si="1"/>
        <v>46216</v>
      </c>
      <c r="C20" s="20" t="s">
        <v>41</v>
      </c>
      <c r="D20" s="21"/>
      <c r="E20" s="22"/>
      <c r="F20" s="23"/>
      <c r="G20" s="24">
        <v>1</v>
      </c>
      <c r="H20" s="25"/>
      <c r="I20" s="26"/>
      <c r="J20" s="27"/>
      <c r="K20" s="28">
        <v>1</v>
      </c>
      <c r="L20" s="15"/>
      <c r="M20" s="16"/>
      <c r="N20" s="15"/>
      <c r="O20" s="16"/>
      <c r="P20" s="30"/>
    </row>
    <row r="21" spans="1:16">
      <c r="A21" s="18" t="str">
        <f t="shared" si="0"/>
        <v>20260713-017</v>
      </c>
      <c r="B21" s="19">
        <f t="shared" si="1"/>
        <v>46216</v>
      </c>
      <c r="C21" s="20" t="s">
        <v>42</v>
      </c>
      <c r="D21" s="31"/>
      <c r="E21" s="22">
        <v>1</v>
      </c>
      <c r="F21" s="23"/>
      <c r="G21" s="24"/>
      <c r="H21" s="25"/>
      <c r="I21" s="26"/>
      <c r="J21" s="27"/>
      <c r="K21" s="28">
        <v>2</v>
      </c>
      <c r="L21" s="15"/>
      <c r="M21" s="16"/>
      <c r="N21" s="15"/>
      <c r="O21" s="16"/>
      <c r="P21" s="17"/>
    </row>
    <row r="22" spans="1:16">
      <c r="A22" s="18" t="str">
        <f t="shared" si="0"/>
        <v>20260713-018</v>
      </c>
      <c r="B22" s="19">
        <f t="shared" si="1"/>
        <v>46216</v>
      </c>
      <c r="C22" s="20" t="s">
        <v>43</v>
      </c>
      <c r="D22" s="21"/>
      <c r="E22" s="22">
        <v>2</v>
      </c>
      <c r="F22" s="23"/>
      <c r="G22" s="24">
        <v>1</v>
      </c>
      <c r="H22" s="25"/>
      <c r="I22" s="26">
        <v>3</v>
      </c>
      <c r="J22" s="27"/>
      <c r="K22" s="28">
        <v>2</v>
      </c>
      <c r="L22" s="15"/>
      <c r="M22" s="16"/>
      <c r="N22" s="15"/>
      <c r="O22" s="16"/>
      <c r="P22" s="30"/>
    </row>
    <row r="23" spans="1:16">
      <c r="A23" s="18" t="str">
        <f t="shared" si="0"/>
        <v>20260713-019</v>
      </c>
      <c r="B23" s="19">
        <f t="shared" si="1"/>
        <v>46216</v>
      </c>
      <c r="C23" s="20" t="s">
        <v>44</v>
      </c>
      <c r="D23" s="31"/>
      <c r="E23" s="22"/>
      <c r="F23" s="23"/>
      <c r="G23" s="24"/>
      <c r="H23" s="25">
        <v>2</v>
      </c>
      <c r="I23" s="26">
        <v>3</v>
      </c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20260713-020</v>
      </c>
      <c r="B24" s="19">
        <f t="shared" si="1"/>
        <v>46216</v>
      </c>
      <c r="C24" s="20" t="s">
        <v>45</v>
      </c>
      <c r="D24" s="21"/>
      <c r="E24" s="22"/>
      <c r="F24" s="23"/>
      <c r="G24" s="24"/>
      <c r="H24" s="25"/>
      <c r="I24" s="26"/>
      <c r="J24" s="27"/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20260713-021</v>
      </c>
      <c r="B25" s="19">
        <f t="shared" si="1"/>
        <v>46216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20260713-022</v>
      </c>
      <c r="B26" s="19">
        <f t="shared" si="1"/>
        <v>46216</v>
      </c>
      <c r="C26" s="20" t="s">
        <v>47</v>
      </c>
      <c r="D26" s="21"/>
      <c r="E26" s="22"/>
      <c r="F26" s="23"/>
      <c r="G26" s="24"/>
      <c r="H26" s="25">
        <v>10</v>
      </c>
      <c r="I26" s="26">
        <v>4</v>
      </c>
      <c r="J26" s="27">
        <v>2</v>
      </c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20260713-023</v>
      </c>
      <c r="B27" s="19">
        <f t="shared" si="1"/>
        <v>46216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20260713-024</v>
      </c>
      <c r="B28" s="19">
        <f t="shared" si="1"/>
        <v>46216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20260713-025</v>
      </c>
      <c r="B29" s="19">
        <f t="shared" si="1"/>
        <v>46216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20260713-026</v>
      </c>
      <c r="B30" s="19">
        <f t="shared" si="1"/>
        <v>46216</v>
      </c>
      <c r="C30" s="20" t="s">
        <v>51</v>
      </c>
      <c r="D30" s="21"/>
      <c r="E30" s="22"/>
      <c r="F30" s="23"/>
      <c r="G30" s="24"/>
      <c r="H30" s="25"/>
      <c r="I30" s="26"/>
      <c r="J30" s="27"/>
      <c r="K30" s="28"/>
      <c r="L30" s="15"/>
      <c r="M30" s="16"/>
      <c r="N30" s="15"/>
      <c r="O30" s="16"/>
      <c r="P30" s="30"/>
    </row>
    <row r="31" spans="1:16">
      <c r="A31" s="18" t="str">
        <f t="shared" si="0"/>
        <v>20260713-027</v>
      </c>
      <c r="B31" s="19">
        <f t="shared" si="1"/>
        <v>46216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20260713-028</v>
      </c>
      <c r="B32" s="19">
        <f t="shared" si="1"/>
        <v>46216</v>
      </c>
      <c r="C32" s="20" t="s">
        <v>53</v>
      </c>
      <c r="D32" s="21">
        <v>1</v>
      </c>
      <c r="E32" s="22"/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20260713-029</v>
      </c>
      <c r="B33" s="19">
        <f t="shared" si="1"/>
        <v>46216</v>
      </c>
      <c r="C33" s="20" t="s">
        <v>54</v>
      </c>
      <c r="D33" s="31"/>
      <c r="E33" s="22"/>
      <c r="F33" s="23"/>
      <c r="G33" s="24">
        <v>3</v>
      </c>
      <c r="H33" s="25"/>
      <c r="I33" s="26">
        <v>1</v>
      </c>
      <c r="J33" s="27"/>
      <c r="K33" s="28">
        <v>8</v>
      </c>
      <c r="L33" s="15"/>
      <c r="M33" s="16"/>
      <c r="N33" s="15"/>
      <c r="O33" s="16"/>
      <c r="P33" s="17"/>
    </row>
    <row r="34" spans="1:16">
      <c r="A34" s="18" t="str">
        <f t="shared" si="0"/>
        <v>20260713-030</v>
      </c>
      <c r="B34" s="19">
        <f t="shared" si="1"/>
        <v>46216</v>
      </c>
      <c r="C34" s="20" t="s">
        <v>55</v>
      </c>
      <c r="D34" s="21"/>
      <c r="E34" s="22">
        <v>1</v>
      </c>
      <c r="F34" s="23"/>
      <c r="G34" s="24"/>
      <c r="H34" s="25"/>
      <c r="I34" s="26"/>
      <c r="J34" s="27"/>
      <c r="K34" s="28">
        <v>2</v>
      </c>
      <c r="L34" s="15"/>
      <c r="M34" s="16"/>
      <c r="N34" s="15"/>
      <c r="O34" s="16"/>
      <c r="P34" s="30"/>
    </row>
    <row r="35" spans="1:16">
      <c r="A35" s="18" t="str">
        <f t="shared" si="0"/>
        <v>20260713-031</v>
      </c>
      <c r="B35" s="19">
        <f t="shared" si="1"/>
        <v>46216</v>
      </c>
      <c r="C35" s="20" t="s">
        <v>56</v>
      </c>
      <c r="D35" s="31"/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20260713-032</v>
      </c>
      <c r="B36" s="19">
        <f t="shared" si="1"/>
        <v>46216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20260713-033</v>
      </c>
      <c r="B37" s="19">
        <f t="shared" si="1"/>
        <v>46216</v>
      </c>
      <c r="C37" s="20" t="s">
        <v>58</v>
      </c>
      <c r="D37" s="31">
        <v>20</v>
      </c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20260713-034</v>
      </c>
      <c r="B38" s="19">
        <f t="shared" ref="B38:B69" si="3">$B$5</f>
        <v>46216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20260713-035</v>
      </c>
      <c r="B39" s="19">
        <f t="shared" si="3"/>
        <v>46216</v>
      </c>
      <c r="C39" s="20" t="s">
        <v>60</v>
      </c>
      <c r="D39" s="31"/>
      <c r="E39" s="22"/>
      <c r="F39" s="23"/>
      <c r="G39" s="24">
        <v>1</v>
      </c>
      <c r="H39" s="25"/>
      <c r="I39" s="26"/>
      <c r="J39" s="27"/>
      <c r="K39" s="28">
        <v>1</v>
      </c>
      <c r="L39" s="15"/>
      <c r="M39" s="16"/>
      <c r="N39" s="15"/>
      <c r="O39" s="16"/>
      <c r="P39" s="17"/>
    </row>
    <row r="40" spans="1:16">
      <c r="A40" s="18" t="str">
        <f t="shared" si="2"/>
        <v>20260713-036</v>
      </c>
      <c r="B40" s="19">
        <f t="shared" si="3"/>
        <v>46216</v>
      </c>
      <c r="C40" s="20" t="s">
        <v>61</v>
      </c>
      <c r="D40" s="21"/>
      <c r="E40" s="22"/>
      <c r="F40" s="23">
        <v>3</v>
      </c>
      <c r="G40" s="24"/>
      <c r="H40" s="25"/>
      <c r="I40" s="26"/>
      <c r="J40" s="27"/>
      <c r="K40" s="28"/>
      <c r="L40" s="15"/>
      <c r="M40" s="16"/>
      <c r="N40" s="15"/>
      <c r="O40" s="16"/>
      <c r="P40" s="30"/>
    </row>
    <row r="41" spans="1:16">
      <c r="A41" s="18" t="str">
        <f t="shared" si="2"/>
        <v>20260713-037</v>
      </c>
      <c r="B41" s="19">
        <f t="shared" si="3"/>
        <v>46216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20260713-038</v>
      </c>
      <c r="B42" s="19">
        <f t="shared" si="3"/>
        <v>46216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20260713-039</v>
      </c>
      <c r="B43" s="19">
        <f t="shared" si="3"/>
        <v>46216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20260713-040</v>
      </c>
      <c r="B44" s="19">
        <f t="shared" si="3"/>
        <v>46216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20260713-041</v>
      </c>
      <c r="B45" s="19">
        <f t="shared" si="3"/>
        <v>46216</v>
      </c>
      <c r="C45" s="20" t="s">
        <v>66</v>
      </c>
      <c r="D45" s="31"/>
      <c r="E45" s="22"/>
      <c r="F45" s="23"/>
      <c r="G45" s="24">
        <v>1</v>
      </c>
      <c r="H45" s="25"/>
      <c r="I45" s="26"/>
      <c r="J45" s="27"/>
      <c r="K45" s="28">
        <v>1</v>
      </c>
      <c r="L45" s="15"/>
      <c r="M45" s="16"/>
      <c r="N45" s="15"/>
      <c r="O45" s="16"/>
      <c r="P45" s="17"/>
    </row>
    <row r="46" spans="1:16">
      <c r="A46" s="18" t="str">
        <f t="shared" si="2"/>
        <v>20260713-042</v>
      </c>
      <c r="B46" s="19">
        <f t="shared" si="3"/>
        <v>46216</v>
      </c>
      <c r="C46" s="20" t="s">
        <v>67</v>
      </c>
      <c r="D46" s="21"/>
      <c r="E46" s="22"/>
      <c r="F46" s="23"/>
      <c r="G46" s="24">
        <v>2</v>
      </c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20260713-043</v>
      </c>
      <c r="B47" s="19">
        <f t="shared" si="3"/>
        <v>46216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20260713-044</v>
      </c>
      <c r="B48" s="19">
        <f t="shared" si="3"/>
        <v>46216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20260713-045</v>
      </c>
      <c r="B49" s="19">
        <f t="shared" si="3"/>
        <v>46216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20260713-046</v>
      </c>
      <c r="B50" s="19">
        <f t="shared" si="3"/>
        <v>46216</v>
      </c>
      <c r="C50" s="20" t="s">
        <v>71</v>
      </c>
      <c r="D50" s="21"/>
      <c r="E50" s="22">
        <v>1</v>
      </c>
      <c r="F50" s="23"/>
      <c r="G50" s="24"/>
      <c r="H50" s="25"/>
      <c r="I50" s="26"/>
      <c r="J50" s="27"/>
      <c r="K50" s="28">
        <v>1</v>
      </c>
      <c r="L50" s="15"/>
      <c r="M50" s="16"/>
      <c r="N50" s="15"/>
      <c r="O50" s="16"/>
      <c r="P50" s="30"/>
    </row>
    <row r="51" spans="1:16">
      <c r="A51" s="18" t="str">
        <f t="shared" si="2"/>
        <v>20260713-047</v>
      </c>
      <c r="B51" s="19">
        <f t="shared" si="3"/>
        <v>46216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20260713-048</v>
      </c>
      <c r="B52" s="19">
        <f t="shared" si="3"/>
        <v>46216</v>
      </c>
      <c r="C52" s="20" t="s">
        <v>73</v>
      </c>
      <c r="D52" s="21"/>
      <c r="E52" s="22">
        <v>1</v>
      </c>
      <c r="F52" s="23"/>
      <c r="G52" s="24"/>
      <c r="H52" s="25"/>
      <c r="I52" s="26"/>
      <c r="J52" s="27"/>
      <c r="K52" s="28">
        <v>1</v>
      </c>
      <c r="L52" s="15"/>
      <c r="M52" s="16"/>
      <c r="N52" s="15"/>
      <c r="O52" s="16"/>
      <c r="P52" s="30"/>
    </row>
    <row r="53" spans="1:16">
      <c r="A53" s="18" t="str">
        <f t="shared" si="2"/>
        <v>20260713-049</v>
      </c>
      <c r="B53" s="19">
        <f t="shared" si="3"/>
        <v>46216</v>
      </c>
      <c r="C53" s="20" t="s">
        <v>74</v>
      </c>
      <c r="D53" s="31"/>
      <c r="E53" s="22"/>
      <c r="F53" s="23"/>
      <c r="G53" s="24"/>
      <c r="H53" s="25"/>
      <c r="I53" s="26">
        <v>6</v>
      </c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20260713-050</v>
      </c>
      <c r="B54" s="19">
        <f t="shared" si="3"/>
        <v>46216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20260713-051</v>
      </c>
      <c r="B55" s="19">
        <f t="shared" si="3"/>
        <v>46216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20260713-052</v>
      </c>
      <c r="B56" s="19">
        <f t="shared" si="3"/>
        <v>46216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20260713-053</v>
      </c>
      <c r="B57" s="19">
        <f t="shared" si="3"/>
        <v>46216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20260713-054</v>
      </c>
      <c r="B58" s="19">
        <f t="shared" si="3"/>
        <v>46216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20260713-055</v>
      </c>
      <c r="B59" s="19">
        <f t="shared" si="3"/>
        <v>46216</v>
      </c>
      <c r="C59" s="20" t="s">
        <v>80</v>
      </c>
      <c r="D59" s="31"/>
      <c r="E59" s="22"/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20260713-056</v>
      </c>
      <c r="B60" s="19">
        <f t="shared" si="3"/>
        <v>46216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20260713-057</v>
      </c>
      <c r="B61" s="19">
        <f t="shared" si="3"/>
        <v>46216</v>
      </c>
      <c r="C61" s="20" t="s">
        <v>82</v>
      </c>
      <c r="D61" s="21"/>
      <c r="E61" s="22"/>
      <c r="F61" s="23"/>
      <c r="G61" s="24"/>
      <c r="H61" s="25"/>
      <c r="I61" s="26"/>
      <c r="J61" s="27">
        <v>5</v>
      </c>
      <c r="K61" s="28">
        <v>6</v>
      </c>
      <c r="L61" s="15"/>
      <c r="M61" s="16"/>
      <c r="N61" s="15"/>
      <c r="O61" s="16"/>
      <c r="P61" s="30"/>
    </row>
    <row r="62" spans="1:16">
      <c r="A62" s="18" t="str">
        <f t="shared" si="2"/>
        <v>20260713-058</v>
      </c>
      <c r="B62" s="19">
        <f t="shared" si="3"/>
        <v>46216</v>
      </c>
      <c r="C62" s="20" t="s">
        <v>83</v>
      </c>
      <c r="D62" s="31"/>
      <c r="E62" s="22"/>
      <c r="F62" s="23"/>
      <c r="G62" s="24"/>
      <c r="H62" s="25">
        <v>5</v>
      </c>
      <c r="I62" s="26">
        <v>3</v>
      </c>
      <c r="J62" s="27">
        <v>5</v>
      </c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20260713-059</v>
      </c>
      <c r="B63" s="19">
        <f t="shared" si="3"/>
        <v>46216</v>
      </c>
      <c r="C63" s="20" t="s">
        <v>84</v>
      </c>
      <c r="D63" s="21"/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20260713-060</v>
      </c>
      <c r="B64" s="19">
        <f t="shared" si="3"/>
        <v>46216</v>
      </c>
      <c r="C64" s="20" t="s">
        <v>85</v>
      </c>
      <c r="D64" s="31"/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20260713-061</v>
      </c>
      <c r="B65" s="19">
        <f t="shared" si="3"/>
        <v>46216</v>
      </c>
      <c r="C65" s="20" t="s">
        <v>86</v>
      </c>
      <c r="D65" s="21"/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20260713-062</v>
      </c>
      <c r="B66" s="19">
        <f t="shared" si="3"/>
        <v>46216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20260713-063</v>
      </c>
      <c r="B67" s="19">
        <f t="shared" si="3"/>
        <v>46216</v>
      </c>
      <c r="C67" s="20" t="s">
        <v>88</v>
      </c>
      <c r="D67" s="21"/>
      <c r="E67" s="22"/>
      <c r="F67" s="23"/>
      <c r="G67" s="24"/>
      <c r="H67" s="25">
        <v>7</v>
      </c>
      <c r="I67" s="26">
        <v>7</v>
      </c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20260713-064</v>
      </c>
      <c r="B68" s="19">
        <f t="shared" si="3"/>
        <v>46216</v>
      </c>
      <c r="C68" s="20" t="s">
        <v>89</v>
      </c>
      <c r="D68" s="31"/>
      <c r="E68" s="22">
        <v>3</v>
      </c>
      <c r="F68" s="23"/>
      <c r="G68" s="24"/>
      <c r="H68" s="25"/>
      <c r="I68" s="26"/>
      <c r="J68" s="27"/>
      <c r="K68" s="28">
        <v>4</v>
      </c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20260713-065</v>
      </c>
      <c r="B69" s="19">
        <f t="shared" si="3"/>
        <v>46216</v>
      </c>
      <c r="C69" s="20" t="s">
        <v>90</v>
      </c>
      <c r="D69" s="21"/>
      <c r="E69" s="22"/>
      <c r="F69" s="23"/>
      <c r="G69" s="24"/>
      <c r="H69" s="25">
        <v>2</v>
      </c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20260713-066</v>
      </c>
      <c r="B70" s="19">
        <f t="shared" ref="B70:B80" si="5">$B$5</f>
        <v>46216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20260713-067</v>
      </c>
      <c r="B71" s="19">
        <f t="shared" si="5"/>
        <v>46216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20260713-068</v>
      </c>
      <c r="B72" s="19">
        <f t="shared" si="5"/>
        <v>46216</v>
      </c>
      <c r="C72" s="20" t="s">
        <v>93</v>
      </c>
      <c r="D72" s="31"/>
      <c r="E72" s="22">
        <v>1</v>
      </c>
      <c r="F72" s="23"/>
      <c r="G72" s="24"/>
      <c r="H72" s="25"/>
      <c r="I72" s="26"/>
      <c r="J72" s="27"/>
      <c r="K72" s="28">
        <v>2</v>
      </c>
      <c r="L72" s="15"/>
      <c r="M72" s="16"/>
      <c r="N72" s="15"/>
      <c r="O72" s="16"/>
      <c r="P72" s="17"/>
    </row>
    <row r="73" spans="1:16">
      <c r="A73" s="18" t="str">
        <f t="shared" si="4"/>
        <v>20260713-069</v>
      </c>
      <c r="B73" s="19">
        <f t="shared" si="5"/>
        <v>46216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20260713-070</v>
      </c>
      <c r="B74" s="19">
        <f t="shared" si="5"/>
        <v>46216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1</v>
      </c>
      <c r="M74" s="16">
        <v>1</v>
      </c>
      <c r="N74" s="15"/>
      <c r="O74" s="16"/>
    </row>
    <row r="75" spans="1:16">
      <c r="A75" s="18" t="str">
        <f t="shared" si="4"/>
        <v>20260713-071</v>
      </c>
      <c r="B75" s="19">
        <f t="shared" si="5"/>
        <v>46216</v>
      </c>
      <c r="C75" s="20" t="s">
        <v>96</v>
      </c>
      <c r="D75" s="21"/>
      <c r="E75" s="22"/>
      <c r="F75" s="23"/>
      <c r="G75" s="24">
        <v>2</v>
      </c>
      <c r="H75" s="25"/>
      <c r="I75" s="26"/>
      <c r="J75" s="27"/>
      <c r="K75" s="28">
        <v>5</v>
      </c>
      <c r="L75" s="15"/>
      <c r="M75" s="16"/>
      <c r="N75" s="15"/>
      <c r="O75" s="16"/>
      <c r="P75" s="30"/>
    </row>
    <row r="76" spans="1:16">
      <c r="A76" s="18" t="str">
        <f t="shared" si="4"/>
        <v>20260713-072</v>
      </c>
      <c r="B76" s="19">
        <f t="shared" si="5"/>
        <v>46216</v>
      </c>
      <c r="C76" s="20" t="s">
        <v>97</v>
      </c>
      <c r="D76" s="31"/>
      <c r="E76" s="22"/>
      <c r="F76" s="23"/>
      <c r="G76" s="24"/>
      <c r="H76" s="25"/>
      <c r="I76" s="26"/>
      <c r="J76" s="27"/>
      <c r="K76" s="28"/>
      <c r="L76" s="15"/>
      <c r="M76" s="16"/>
      <c r="N76" s="15"/>
      <c r="O76" s="16"/>
    </row>
    <row r="77" spans="1:16">
      <c r="A77" s="18" t="str">
        <f t="shared" si="4"/>
        <v>20260713-073</v>
      </c>
      <c r="B77" s="19">
        <f t="shared" si="5"/>
        <v>46216</v>
      </c>
      <c r="C77" s="20" t="s">
        <v>98</v>
      </c>
      <c r="D77" s="21"/>
      <c r="E77" s="22"/>
      <c r="F77" s="23"/>
      <c r="G77" s="24">
        <v>1</v>
      </c>
      <c r="H77" s="25"/>
      <c r="I77" s="26"/>
      <c r="J77" s="27"/>
      <c r="K77" s="28"/>
      <c r="L77" s="34">
        <v>1</v>
      </c>
      <c r="M77" s="16"/>
      <c r="N77" s="15"/>
      <c r="O77" s="16"/>
      <c r="P77" s="30"/>
    </row>
    <row r="78" spans="1:16">
      <c r="A78" s="18" t="str">
        <f t="shared" si="4"/>
        <v>20260713-074</v>
      </c>
      <c r="B78" s="19">
        <f t="shared" si="5"/>
        <v>46216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20260713-075</v>
      </c>
      <c r="B79" s="19">
        <f t="shared" si="5"/>
        <v>46216</v>
      </c>
      <c r="C79" s="20" t="s">
        <v>100</v>
      </c>
      <c r="D79" s="21"/>
      <c r="E79" s="22">
        <v>1</v>
      </c>
      <c r="F79" s="23"/>
      <c r="G79" s="24"/>
      <c r="H79" s="25"/>
      <c r="I79" s="26"/>
      <c r="J79" s="27"/>
      <c r="K79" s="28">
        <v>1</v>
      </c>
      <c r="L79" s="15"/>
      <c r="M79" s="16"/>
      <c r="N79" s="15"/>
      <c r="O79" s="16"/>
      <c r="P79" s="30"/>
    </row>
    <row r="80" spans="1:16">
      <c r="A80" s="18" t="str">
        <f t="shared" si="4"/>
        <v>20260713-076</v>
      </c>
      <c r="B80" s="19">
        <f t="shared" si="5"/>
        <v>46216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80"/>
  <sheetViews>
    <sheetView zoomScale="70" zoomScaleNormal="70" workbookViewId="0">
      <selection activeCell="C14" sqref="C1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20260714-001</v>
      </c>
      <c r="B5" s="5">
        <v>46217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20260714-002</v>
      </c>
      <c r="B6" s="19">
        <f t="shared" ref="B6:B37" si="1">$B$5</f>
        <v>46217</v>
      </c>
      <c r="C6" s="20" t="s">
        <v>28</v>
      </c>
      <c r="D6" s="21">
        <v>5</v>
      </c>
      <c r="E6" s="22">
        <v>5</v>
      </c>
      <c r="F6" s="23"/>
      <c r="G6" s="24">
        <v>6</v>
      </c>
      <c r="H6" s="25"/>
      <c r="I6" s="26"/>
      <c r="J6" s="27"/>
      <c r="K6" s="28">
        <v>9</v>
      </c>
      <c r="L6" s="15"/>
      <c r="M6" s="29"/>
      <c r="N6" s="15"/>
      <c r="O6" s="29"/>
      <c r="P6" s="30"/>
    </row>
    <row r="7" spans="1:16">
      <c r="A7" s="18" t="str">
        <f t="shared" si="0"/>
        <v>20260714-003</v>
      </c>
      <c r="B7" s="19">
        <f t="shared" si="1"/>
        <v>46217</v>
      </c>
      <c r="C7" s="20" t="s">
        <v>29</v>
      </c>
      <c r="D7" s="31"/>
      <c r="E7" s="22"/>
      <c r="F7" s="23"/>
      <c r="G7" s="24"/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20260714-004</v>
      </c>
      <c r="B8" s="19">
        <f t="shared" si="1"/>
        <v>46217</v>
      </c>
      <c r="C8" s="20" t="s">
        <v>30</v>
      </c>
      <c r="D8" s="21"/>
      <c r="E8" s="22">
        <v>4</v>
      </c>
      <c r="F8" s="23"/>
      <c r="G8" s="24">
        <v>1</v>
      </c>
      <c r="H8" s="25"/>
      <c r="I8" s="26"/>
      <c r="J8" s="27"/>
      <c r="K8" s="28"/>
      <c r="L8" s="15"/>
      <c r="M8" s="16"/>
      <c r="N8" s="15"/>
      <c r="O8" s="16"/>
      <c r="P8" s="30"/>
    </row>
    <row r="9" spans="1:16">
      <c r="A9" s="18" t="str">
        <f t="shared" si="0"/>
        <v>20260714-005</v>
      </c>
      <c r="B9" s="19">
        <f t="shared" si="1"/>
        <v>46217</v>
      </c>
      <c r="C9" s="20" t="s">
        <v>31</v>
      </c>
      <c r="D9" s="31"/>
      <c r="E9" s="22"/>
      <c r="F9" s="23"/>
      <c r="G9" s="24">
        <v>1</v>
      </c>
      <c r="H9" s="25"/>
      <c r="I9" s="26"/>
      <c r="J9" s="27"/>
      <c r="K9" s="28"/>
      <c r="L9" s="15"/>
      <c r="M9" s="29"/>
      <c r="N9" s="15"/>
      <c r="O9" s="29"/>
      <c r="P9" s="17"/>
    </row>
    <row r="10" spans="1:16">
      <c r="A10" s="18" t="str">
        <f t="shared" si="0"/>
        <v>20260714-006</v>
      </c>
      <c r="B10" s="19">
        <f t="shared" si="1"/>
        <v>46217</v>
      </c>
      <c r="C10" s="20" t="s">
        <v>32</v>
      </c>
      <c r="D10" s="21"/>
      <c r="E10" s="22"/>
      <c r="F10" s="23"/>
      <c r="G10" s="24"/>
      <c r="H10" s="25"/>
      <c r="I10" s="26"/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20260714-007</v>
      </c>
      <c r="B11" s="19">
        <f t="shared" si="1"/>
        <v>46217</v>
      </c>
      <c r="C11" s="20" t="s">
        <v>33</v>
      </c>
      <c r="D11" s="31"/>
      <c r="E11" s="22"/>
      <c r="F11" s="23"/>
      <c r="G11" s="24"/>
      <c r="H11" s="25">
        <v>20</v>
      </c>
      <c r="I11" s="26">
        <v>20</v>
      </c>
      <c r="J11" s="27">
        <v>5</v>
      </c>
      <c r="K11" s="28">
        <v>5</v>
      </c>
      <c r="L11" s="15"/>
      <c r="M11" s="16"/>
      <c r="N11" s="15"/>
      <c r="O11" s="16"/>
      <c r="P11" s="17"/>
    </row>
    <row r="12" spans="1:16">
      <c r="A12" s="18" t="str">
        <f t="shared" si="0"/>
        <v>20260714-008</v>
      </c>
      <c r="B12" s="19">
        <f t="shared" si="1"/>
        <v>46217</v>
      </c>
      <c r="C12" s="33" t="s">
        <v>34</v>
      </c>
      <c r="D12" s="21">
        <v>10</v>
      </c>
      <c r="E12" s="22">
        <v>7</v>
      </c>
      <c r="F12" s="23"/>
      <c r="G12" s="24">
        <v>10</v>
      </c>
      <c r="H12" s="25"/>
      <c r="I12" s="26"/>
      <c r="J12" s="27"/>
      <c r="K12" s="28">
        <v>13</v>
      </c>
      <c r="L12" s="15"/>
      <c r="M12" s="16"/>
      <c r="N12" s="15"/>
      <c r="O12" s="16"/>
      <c r="P12" s="30"/>
    </row>
    <row r="13" spans="1:16">
      <c r="A13" s="18" t="str">
        <f t="shared" si="0"/>
        <v>20260714-009</v>
      </c>
      <c r="B13" s="19">
        <f t="shared" si="1"/>
        <v>46217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20260714-010</v>
      </c>
      <c r="B14" s="19">
        <f t="shared" si="1"/>
        <v>46217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20260714-011</v>
      </c>
      <c r="B15" s="19">
        <f t="shared" si="1"/>
        <v>46217</v>
      </c>
      <c r="C15" s="33" t="s">
        <v>36</v>
      </c>
      <c r="D15" s="31"/>
      <c r="E15" s="22"/>
      <c r="F15" s="23"/>
      <c r="G15" s="24"/>
      <c r="H15" s="25">
        <v>10</v>
      </c>
      <c r="I15" s="26"/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20260714-012</v>
      </c>
      <c r="B16" s="19">
        <f t="shared" si="1"/>
        <v>46217</v>
      </c>
      <c r="C16" s="20" t="s">
        <v>37</v>
      </c>
      <c r="D16" s="21"/>
      <c r="E16" s="22"/>
      <c r="F16" s="23"/>
      <c r="G16" s="24"/>
      <c r="H16" s="25">
        <v>3</v>
      </c>
      <c r="I16" s="26">
        <v>1</v>
      </c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20260714-013</v>
      </c>
      <c r="B17" s="19">
        <f t="shared" si="1"/>
        <v>46217</v>
      </c>
      <c r="C17" s="20" t="s">
        <v>38</v>
      </c>
      <c r="D17" s="31"/>
      <c r="E17" s="22"/>
      <c r="F17" s="23"/>
      <c r="G17" s="24">
        <v>1</v>
      </c>
      <c r="H17" s="25">
        <v>1</v>
      </c>
      <c r="I17" s="26"/>
      <c r="J17" s="27">
        <v>2</v>
      </c>
      <c r="K17" s="28"/>
      <c r="L17" s="15"/>
      <c r="M17" s="16"/>
      <c r="N17" s="15"/>
      <c r="O17" s="16"/>
      <c r="P17" s="17"/>
    </row>
    <row r="18" spans="1:16">
      <c r="A18" s="18" t="str">
        <f t="shared" si="0"/>
        <v>20260714-014</v>
      </c>
      <c r="B18" s="19">
        <f t="shared" si="1"/>
        <v>46217</v>
      </c>
      <c r="C18" s="20" t="s">
        <v>39</v>
      </c>
      <c r="D18" s="21"/>
      <c r="E18" s="22"/>
      <c r="F18" s="23"/>
      <c r="G18" s="24"/>
      <c r="H18" s="25"/>
      <c r="I18" s="26"/>
      <c r="J18" s="27"/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20260714-015</v>
      </c>
      <c r="B19" s="19">
        <f t="shared" si="1"/>
        <v>46217</v>
      </c>
      <c r="C19" s="20" t="s">
        <v>40</v>
      </c>
      <c r="D19" s="31"/>
      <c r="E19" s="22"/>
      <c r="F19" s="23"/>
      <c r="G19" s="24"/>
      <c r="H19" s="25">
        <v>2</v>
      </c>
      <c r="I19" s="26"/>
      <c r="J19" s="27"/>
      <c r="K19" s="28">
        <v>1</v>
      </c>
      <c r="L19" s="15"/>
      <c r="M19" s="16"/>
      <c r="N19" s="15"/>
      <c r="O19" s="16"/>
      <c r="P19" s="17"/>
    </row>
    <row r="20" spans="1:16">
      <c r="A20" s="18" t="str">
        <f t="shared" si="0"/>
        <v>20260714-016</v>
      </c>
      <c r="B20" s="19">
        <f t="shared" si="1"/>
        <v>46217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20260714-017</v>
      </c>
      <c r="B21" s="19">
        <f t="shared" si="1"/>
        <v>46217</v>
      </c>
      <c r="C21" s="20" t="s">
        <v>42</v>
      </c>
      <c r="D21" s="31"/>
      <c r="E21" s="22">
        <v>1</v>
      </c>
      <c r="F21" s="23"/>
      <c r="G21" s="24">
        <v>1</v>
      </c>
      <c r="H21" s="25"/>
      <c r="I21" s="26"/>
      <c r="J21" s="27"/>
      <c r="K21" s="28"/>
      <c r="L21" s="15"/>
      <c r="M21" s="16"/>
      <c r="N21" s="15"/>
      <c r="O21" s="16"/>
      <c r="P21" s="17"/>
    </row>
    <row r="22" spans="1:16">
      <c r="A22" s="18" t="str">
        <f t="shared" si="0"/>
        <v>20260714-018</v>
      </c>
      <c r="B22" s="19">
        <f t="shared" si="1"/>
        <v>46217</v>
      </c>
      <c r="C22" s="20" t="s">
        <v>43</v>
      </c>
      <c r="D22" s="21"/>
      <c r="E22" s="22">
        <v>1</v>
      </c>
      <c r="F22" s="23"/>
      <c r="G22" s="24">
        <v>2</v>
      </c>
      <c r="H22" s="25"/>
      <c r="I22" s="26">
        <v>8</v>
      </c>
      <c r="J22" s="27"/>
      <c r="K22" s="28"/>
      <c r="L22" s="15"/>
      <c r="M22" s="16"/>
      <c r="N22" s="15"/>
      <c r="O22" s="16"/>
      <c r="P22" s="30"/>
    </row>
    <row r="23" spans="1:16">
      <c r="A23" s="18" t="str">
        <f t="shared" si="0"/>
        <v>20260714-019</v>
      </c>
      <c r="B23" s="19">
        <f t="shared" si="1"/>
        <v>46217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20260714-020</v>
      </c>
      <c r="B24" s="19">
        <f t="shared" si="1"/>
        <v>46217</v>
      </c>
      <c r="C24" s="20" t="s">
        <v>45</v>
      </c>
      <c r="D24" s="21"/>
      <c r="E24" s="22"/>
      <c r="F24" s="23"/>
      <c r="G24" s="24"/>
      <c r="H24" s="25"/>
      <c r="I24" s="26"/>
      <c r="J24" s="27"/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20260714-021</v>
      </c>
      <c r="B25" s="19">
        <f t="shared" si="1"/>
        <v>46217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20260714-022</v>
      </c>
      <c r="B26" s="19">
        <f t="shared" si="1"/>
        <v>46217</v>
      </c>
      <c r="C26" s="20" t="s">
        <v>47</v>
      </c>
      <c r="D26" s="21"/>
      <c r="E26" s="22"/>
      <c r="F26" s="23"/>
      <c r="G26" s="24"/>
      <c r="H26" s="25"/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20260714-023</v>
      </c>
      <c r="B27" s="19">
        <f t="shared" si="1"/>
        <v>46217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20260714-024</v>
      </c>
      <c r="B28" s="19">
        <f t="shared" si="1"/>
        <v>46217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20260714-025</v>
      </c>
      <c r="B29" s="19">
        <f t="shared" si="1"/>
        <v>46217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20260714-026</v>
      </c>
      <c r="B30" s="19">
        <f t="shared" si="1"/>
        <v>46217</v>
      </c>
      <c r="C30" s="20" t="s">
        <v>51</v>
      </c>
      <c r="D30" s="21"/>
      <c r="E30" s="22">
        <v>2</v>
      </c>
      <c r="F30" s="23"/>
      <c r="G30" s="24">
        <v>2</v>
      </c>
      <c r="H30" s="25"/>
      <c r="I30" s="26"/>
      <c r="J30" s="27"/>
      <c r="K30" s="28"/>
      <c r="L30" s="15"/>
      <c r="M30" s="16"/>
      <c r="N30" s="15"/>
      <c r="O30" s="16"/>
      <c r="P30" s="30"/>
    </row>
    <row r="31" spans="1:16">
      <c r="A31" s="18" t="str">
        <f t="shared" si="0"/>
        <v>20260714-027</v>
      </c>
      <c r="B31" s="19">
        <f t="shared" si="1"/>
        <v>46217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20260714-028</v>
      </c>
      <c r="B32" s="19">
        <f t="shared" si="1"/>
        <v>46217</v>
      </c>
      <c r="C32" s="20" t="s">
        <v>53</v>
      </c>
      <c r="D32" s="21"/>
      <c r="E32" s="22"/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20260714-029</v>
      </c>
      <c r="B33" s="19">
        <f t="shared" si="1"/>
        <v>46217</v>
      </c>
      <c r="C33" s="20" t="s">
        <v>54</v>
      </c>
      <c r="D33" s="31"/>
      <c r="E33" s="22"/>
      <c r="F33" s="23"/>
      <c r="G33" s="24">
        <v>2</v>
      </c>
      <c r="H33" s="25"/>
      <c r="I33" s="26"/>
      <c r="J33" s="27"/>
      <c r="K33" s="28"/>
      <c r="L33" s="15"/>
      <c r="M33" s="16"/>
      <c r="N33" s="15"/>
      <c r="O33" s="16"/>
      <c r="P33" s="17"/>
    </row>
    <row r="34" spans="1:16">
      <c r="A34" s="18" t="str">
        <f t="shared" si="0"/>
        <v>20260714-030</v>
      </c>
      <c r="B34" s="19">
        <f t="shared" si="1"/>
        <v>46217</v>
      </c>
      <c r="C34" s="20" t="s">
        <v>55</v>
      </c>
      <c r="D34" s="21"/>
      <c r="E34" s="22"/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20260714-031</v>
      </c>
      <c r="B35" s="19">
        <f t="shared" si="1"/>
        <v>46217</v>
      </c>
      <c r="C35" s="20" t="s">
        <v>56</v>
      </c>
      <c r="D35" s="31">
        <v>10</v>
      </c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20260714-032</v>
      </c>
      <c r="B36" s="19">
        <f t="shared" si="1"/>
        <v>46217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20260714-033</v>
      </c>
      <c r="B37" s="19">
        <f t="shared" si="1"/>
        <v>46217</v>
      </c>
      <c r="C37" s="20" t="s">
        <v>58</v>
      </c>
      <c r="D37" s="31"/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20260714-034</v>
      </c>
      <c r="B38" s="19">
        <f t="shared" ref="B38:B69" si="3">$B$5</f>
        <v>46217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20260714-035</v>
      </c>
      <c r="B39" s="19">
        <f t="shared" si="3"/>
        <v>46217</v>
      </c>
      <c r="C39" s="20" t="s">
        <v>60</v>
      </c>
      <c r="D39" s="31"/>
      <c r="E39" s="22"/>
      <c r="F39" s="23"/>
      <c r="G39" s="24"/>
      <c r="H39" s="25"/>
      <c r="I39" s="26"/>
      <c r="J39" s="27"/>
      <c r="K39" s="28"/>
      <c r="L39" s="15"/>
      <c r="M39" s="16"/>
      <c r="N39" s="15"/>
      <c r="O39" s="16"/>
      <c r="P39" s="17"/>
    </row>
    <row r="40" spans="1:16">
      <c r="A40" s="18" t="str">
        <f t="shared" si="2"/>
        <v>20260714-036</v>
      </c>
      <c r="B40" s="19">
        <f t="shared" si="3"/>
        <v>46217</v>
      </c>
      <c r="C40" s="20" t="s">
        <v>61</v>
      </c>
      <c r="D40" s="21"/>
      <c r="E40" s="22"/>
      <c r="F40" s="23"/>
      <c r="G40" s="24"/>
      <c r="H40" s="25"/>
      <c r="I40" s="26"/>
      <c r="J40" s="27"/>
      <c r="K40" s="28"/>
      <c r="L40" s="15"/>
      <c r="M40" s="16"/>
      <c r="N40" s="15"/>
      <c r="O40" s="16"/>
      <c r="P40" s="30"/>
    </row>
    <row r="41" spans="1:16">
      <c r="A41" s="18" t="str">
        <f t="shared" si="2"/>
        <v>20260714-037</v>
      </c>
      <c r="B41" s="19">
        <f t="shared" si="3"/>
        <v>46217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20260714-038</v>
      </c>
      <c r="B42" s="19">
        <f t="shared" si="3"/>
        <v>46217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20260714-039</v>
      </c>
      <c r="B43" s="19">
        <f t="shared" si="3"/>
        <v>46217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20260714-040</v>
      </c>
      <c r="B44" s="19">
        <f t="shared" si="3"/>
        <v>46217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20260714-041</v>
      </c>
      <c r="B45" s="19">
        <f t="shared" si="3"/>
        <v>46217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20260714-042</v>
      </c>
      <c r="B46" s="19">
        <f t="shared" si="3"/>
        <v>46217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20260714-043</v>
      </c>
      <c r="B47" s="19">
        <f t="shared" si="3"/>
        <v>46217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20260714-044</v>
      </c>
      <c r="B48" s="19">
        <f t="shared" si="3"/>
        <v>46217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20260714-045</v>
      </c>
      <c r="B49" s="19">
        <f t="shared" si="3"/>
        <v>46217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20260714-046</v>
      </c>
      <c r="B50" s="19">
        <f t="shared" si="3"/>
        <v>46217</v>
      </c>
      <c r="C50" s="20" t="s">
        <v>71</v>
      </c>
      <c r="D50" s="21"/>
      <c r="E50" s="22">
        <v>1</v>
      </c>
      <c r="F50" s="23"/>
      <c r="G50" s="24"/>
      <c r="H50" s="25"/>
      <c r="I50" s="26"/>
      <c r="J50" s="27"/>
      <c r="K50" s="28">
        <v>1</v>
      </c>
      <c r="L50" s="15"/>
      <c r="M50" s="16"/>
      <c r="N50" s="15"/>
      <c r="O50" s="16"/>
      <c r="P50" s="30"/>
    </row>
    <row r="51" spans="1:16">
      <c r="A51" s="18" t="str">
        <f t="shared" si="2"/>
        <v>20260714-047</v>
      </c>
      <c r="B51" s="19">
        <f t="shared" si="3"/>
        <v>46217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20260714-048</v>
      </c>
      <c r="B52" s="19">
        <f t="shared" si="3"/>
        <v>46217</v>
      </c>
      <c r="C52" s="20" t="s">
        <v>73</v>
      </c>
      <c r="D52" s="21"/>
      <c r="E52" s="22"/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20260714-049</v>
      </c>
      <c r="B53" s="19">
        <f t="shared" si="3"/>
        <v>46217</v>
      </c>
      <c r="C53" s="20" t="s">
        <v>74</v>
      </c>
      <c r="D53" s="31"/>
      <c r="E53" s="22"/>
      <c r="F53" s="23"/>
      <c r="G53" s="24"/>
      <c r="H53" s="25"/>
      <c r="I53" s="26"/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20260714-050</v>
      </c>
      <c r="B54" s="19">
        <f t="shared" si="3"/>
        <v>46217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20260714-051</v>
      </c>
      <c r="B55" s="19">
        <f t="shared" si="3"/>
        <v>46217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20260714-052</v>
      </c>
      <c r="B56" s="19">
        <f t="shared" si="3"/>
        <v>46217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20260714-053</v>
      </c>
      <c r="B57" s="19">
        <f t="shared" si="3"/>
        <v>46217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20260714-054</v>
      </c>
      <c r="B58" s="19">
        <f t="shared" si="3"/>
        <v>46217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20260714-055</v>
      </c>
      <c r="B59" s="19">
        <f t="shared" si="3"/>
        <v>46217</v>
      </c>
      <c r="C59" s="20" t="s">
        <v>80</v>
      </c>
      <c r="D59" s="31"/>
      <c r="E59" s="22">
        <v>1</v>
      </c>
      <c r="F59" s="23"/>
      <c r="G59" s="24"/>
      <c r="H59" s="25"/>
      <c r="I59" s="26"/>
      <c r="J59" s="27"/>
      <c r="K59" s="28">
        <v>1</v>
      </c>
      <c r="L59" s="15"/>
      <c r="M59" s="16"/>
      <c r="N59" s="15"/>
      <c r="O59" s="16"/>
      <c r="P59" s="17"/>
    </row>
    <row r="60" spans="1:16">
      <c r="A60" s="18" t="str">
        <f t="shared" si="2"/>
        <v>20260714-056</v>
      </c>
      <c r="B60" s="19">
        <f t="shared" si="3"/>
        <v>46217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20260714-057</v>
      </c>
      <c r="B61" s="19">
        <f t="shared" si="3"/>
        <v>46217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20260714-058</v>
      </c>
      <c r="B62" s="19">
        <f t="shared" si="3"/>
        <v>46217</v>
      </c>
      <c r="C62" s="20" t="s">
        <v>83</v>
      </c>
      <c r="D62" s="31"/>
      <c r="E62" s="22"/>
      <c r="F62" s="23"/>
      <c r="G62" s="24"/>
      <c r="H62" s="25">
        <v>5</v>
      </c>
      <c r="I62" s="26">
        <v>5</v>
      </c>
      <c r="J62" s="27">
        <v>6</v>
      </c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20260714-059</v>
      </c>
      <c r="B63" s="19">
        <f t="shared" si="3"/>
        <v>46217</v>
      </c>
      <c r="C63" s="20" t="s">
        <v>84</v>
      </c>
      <c r="D63" s="21"/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20260714-060</v>
      </c>
      <c r="B64" s="19">
        <f t="shared" si="3"/>
        <v>46217</v>
      </c>
      <c r="C64" s="20" t="s">
        <v>85</v>
      </c>
      <c r="D64" s="31"/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20260714-061</v>
      </c>
      <c r="B65" s="19">
        <f t="shared" si="3"/>
        <v>46217</v>
      </c>
      <c r="C65" s="20" t="s">
        <v>86</v>
      </c>
      <c r="D65" s="21"/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20260714-062</v>
      </c>
      <c r="B66" s="19">
        <f t="shared" si="3"/>
        <v>46217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20260714-063</v>
      </c>
      <c r="B67" s="19">
        <f t="shared" si="3"/>
        <v>46217</v>
      </c>
      <c r="C67" s="20" t="s">
        <v>88</v>
      </c>
      <c r="D67" s="21"/>
      <c r="E67" s="22"/>
      <c r="F67" s="23"/>
      <c r="G67" s="24"/>
      <c r="H67" s="25"/>
      <c r="I67" s="26"/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20260714-064</v>
      </c>
      <c r="B68" s="19">
        <f t="shared" si="3"/>
        <v>46217</v>
      </c>
      <c r="C68" s="20" t="s">
        <v>89</v>
      </c>
      <c r="D68" s="31"/>
      <c r="E68" s="22"/>
      <c r="F68" s="23"/>
      <c r="G68" s="24"/>
      <c r="H68" s="25"/>
      <c r="I68" s="26"/>
      <c r="J68" s="27"/>
      <c r="K68" s="28"/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20260714-065</v>
      </c>
      <c r="B69" s="19">
        <f t="shared" si="3"/>
        <v>46217</v>
      </c>
      <c r="C69" s="20" t="s">
        <v>90</v>
      </c>
      <c r="D69" s="21"/>
      <c r="E69" s="22"/>
      <c r="F69" s="23"/>
      <c r="G69" s="24"/>
      <c r="H69" s="25"/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20260714-066</v>
      </c>
      <c r="B70" s="19">
        <f t="shared" ref="B70:B80" si="5">$B$5</f>
        <v>46217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20260714-067</v>
      </c>
      <c r="B71" s="19">
        <f t="shared" si="5"/>
        <v>46217</v>
      </c>
      <c r="C71" s="20" t="s">
        <v>92</v>
      </c>
      <c r="D71" s="21"/>
      <c r="E71" s="22"/>
      <c r="F71" s="23"/>
      <c r="G71" s="24">
        <v>1</v>
      </c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20260714-068</v>
      </c>
      <c r="B72" s="19">
        <f t="shared" si="5"/>
        <v>46217</v>
      </c>
      <c r="C72" s="20" t="s">
        <v>93</v>
      </c>
      <c r="D72" s="31"/>
      <c r="E72" s="22">
        <v>1</v>
      </c>
      <c r="F72" s="23"/>
      <c r="G72" s="24"/>
      <c r="H72" s="25"/>
      <c r="I72" s="26"/>
      <c r="J72" s="27"/>
      <c r="K72" s="28"/>
      <c r="L72" s="15"/>
      <c r="M72" s="16"/>
      <c r="N72" s="15"/>
      <c r="O72" s="16"/>
      <c r="P72" s="17"/>
    </row>
    <row r="73" spans="1:16">
      <c r="A73" s="18" t="str">
        <f t="shared" si="4"/>
        <v>20260714-069</v>
      </c>
      <c r="B73" s="19">
        <f t="shared" si="5"/>
        <v>46217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20260714-070</v>
      </c>
      <c r="B74" s="19">
        <f t="shared" si="5"/>
        <v>46217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/>
      <c r="M74" s="16"/>
      <c r="N74" s="15"/>
      <c r="O74" s="16"/>
    </row>
    <row r="75" spans="1:16">
      <c r="A75" s="18" t="str">
        <f t="shared" si="4"/>
        <v>20260714-071</v>
      </c>
      <c r="B75" s="19">
        <f t="shared" si="5"/>
        <v>46217</v>
      </c>
      <c r="C75" s="20" t="s">
        <v>96</v>
      </c>
      <c r="D75" s="21"/>
      <c r="E75" s="22"/>
      <c r="F75" s="23"/>
      <c r="G75" s="24">
        <v>2</v>
      </c>
      <c r="H75" s="25"/>
      <c r="I75" s="26"/>
      <c r="J75" s="27"/>
      <c r="K75" s="28"/>
      <c r="L75" s="15"/>
      <c r="M75" s="16"/>
      <c r="N75" s="15"/>
      <c r="O75" s="16"/>
      <c r="P75" s="30"/>
    </row>
    <row r="76" spans="1:16">
      <c r="A76" s="18" t="str">
        <f t="shared" si="4"/>
        <v>20260714-072</v>
      </c>
      <c r="B76" s="19">
        <f t="shared" si="5"/>
        <v>46217</v>
      </c>
      <c r="C76" s="20" t="s">
        <v>97</v>
      </c>
      <c r="D76" s="31"/>
      <c r="E76" s="22"/>
      <c r="F76" s="23"/>
      <c r="G76" s="24">
        <v>1</v>
      </c>
      <c r="H76" s="25"/>
      <c r="I76" s="26"/>
      <c r="J76" s="27"/>
      <c r="K76" s="28"/>
      <c r="L76" s="15"/>
      <c r="M76" s="16"/>
      <c r="N76" s="15"/>
      <c r="O76" s="16"/>
    </row>
    <row r="77" spans="1:16">
      <c r="A77" s="18" t="str">
        <f t="shared" si="4"/>
        <v>20260714-073</v>
      </c>
      <c r="B77" s="19">
        <f t="shared" si="5"/>
        <v>46217</v>
      </c>
      <c r="C77" s="20" t="s">
        <v>98</v>
      </c>
      <c r="D77" s="21"/>
      <c r="E77" s="22"/>
      <c r="F77" s="23"/>
      <c r="G77" s="24">
        <v>1</v>
      </c>
      <c r="H77" s="25"/>
      <c r="I77" s="26"/>
      <c r="J77" s="27"/>
      <c r="K77" s="28"/>
      <c r="L77" s="34"/>
      <c r="M77" s="16"/>
      <c r="N77" s="15"/>
      <c r="O77" s="16"/>
      <c r="P77" s="30"/>
    </row>
    <row r="78" spans="1:16">
      <c r="A78" s="18" t="str">
        <f t="shared" si="4"/>
        <v>20260714-074</v>
      </c>
      <c r="B78" s="19">
        <f t="shared" si="5"/>
        <v>46217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20260714-075</v>
      </c>
      <c r="B79" s="19">
        <f t="shared" si="5"/>
        <v>46217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20260714-076</v>
      </c>
      <c r="B80" s="19">
        <f t="shared" si="5"/>
        <v>46217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80"/>
  <sheetViews>
    <sheetView topLeftCell="C2" zoomScale="85" zoomScaleNormal="85" workbookViewId="0">
      <selection activeCell="C14" sqref="C1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20260715-001</v>
      </c>
      <c r="B5" s="5">
        <v>46218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20260715-002</v>
      </c>
      <c r="B6" s="19">
        <f t="shared" ref="B6:B37" si="1">$B$5</f>
        <v>46218</v>
      </c>
      <c r="C6" s="20" t="s">
        <v>28</v>
      </c>
      <c r="D6" s="21">
        <v>5</v>
      </c>
      <c r="E6" s="22">
        <v>3</v>
      </c>
      <c r="F6" s="23"/>
      <c r="G6" s="24">
        <v>8</v>
      </c>
      <c r="H6" s="25"/>
      <c r="I6" s="26"/>
      <c r="J6" s="27"/>
      <c r="K6" s="28">
        <v>9</v>
      </c>
      <c r="L6" s="15"/>
      <c r="M6" s="29"/>
      <c r="N6" s="15"/>
      <c r="O6" s="29"/>
      <c r="P6" s="30"/>
    </row>
    <row r="7" spans="1:16">
      <c r="A7" s="18" t="str">
        <f t="shared" si="0"/>
        <v>20260715-003</v>
      </c>
      <c r="B7" s="19">
        <f t="shared" si="1"/>
        <v>46218</v>
      </c>
      <c r="C7" s="20" t="s">
        <v>29</v>
      </c>
      <c r="D7" s="31"/>
      <c r="E7" s="22"/>
      <c r="F7" s="23"/>
      <c r="G7" s="24"/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20260715-004</v>
      </c>
      <c r="B8" s="19">
        <f t="shared" si="1"/>
        <v>46218</v>
      </c>
      <c r="C8" s="20" t="s">
        <v>30</v>
      </c>
      <c r="D8" s="21"/>
      <c r="E8" s="22"/>
      <c r="F8" s="23"/>
      <c r="G8" s="24"/>
      <c r="H8" s="25"/>
      <c r="I8" s="26"/>
      <c r="J8" s="27"/>
      <c r="K8" s="28"/>
      <c r="L8" s="15"/>
      <c r="M8" s="16"/>
      <c r="N8" s="15"/>
      <c r="O8" s="16"/>
      <c r="P8" s="30"/>
    </row>
    <row r="9" spans="1:16">
      <c r="A9" s="18" t="str">
        <f t="shared" si="0"/>
        <v>20260715-005</v>
      </c>
      <c r="B9" s="19">
        <f t="shared" si="1"/>
        <v>46218</v>
      </c>
      <c r="C9" s="20" t="s">
        <v>31</v>
      </c>
      <c r="D9" s="31"/>
      <c r="E9" s="22"/>
      <c r="F9" s="23"/>
      <c r="G9" s="24">
        <v>1</v>
      </c>
      <c r="H9" s="25"/>
      <c r="I9" s="26"/>
      <c r="J9" s="27"/>
      <c r="K9" s="28">
        <v>1</v>
      </c>
      <c r="L9" s="15"/>
      <c r="M9" s="29"/>
      <c r="N9" s="15"/>
      <c r="O9" s="29"/>
      <c r="P9" s="17"/>
    </row>
    <row r="10" spans="1:16">
      <c r="A10" s="18" t="str">
        <f t="shared" si="0"/>
        <v>20260715-006</v>
      </c>
      <c r="B10" s="19">
        <f t="shared" si="1"/>
        <v>46218</v>
      </c>
      <c r="C10" s="20" t="s">
        <v>32</v>
      </c>
      <c r="D10" s="21"/>
      <c r="E10" s="22"/>
      <c r="F10" s="23"/>
      <c r="G10" s="24"/>
      <c r="H10" s="25"/>
      <c r="I10" s="26"/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20260715-007</v>
      </c>
      <c r="B11" s="19">
        <f t="shared" si="1"/>
        <v>46218</v>
      </c>
      <c r="C11" s="20" t="s">
        <v>33</v>
      </c>
      <c r="D11" s="31"/>
      <c r="E11" s="22"/>
      <c r="F11" s="23"/>
      <c r="G11" s="24"/>
      <c r="H11" s="25">
        <v>30</v>
      </c>
      <c r="I11" s="26">
        <v>10</v>
      </c>
      <c r="J11" s="27">
        <v>10</v>
      </c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20260715-008</v>
      </c>
      <c r="B12" s="19">
        <f t="shared" si="1"/>
        <v>46218</v>
      </c>
      <c r="C12" s="33" t="s">
        <v>34</v>
      </c>
      <c r="D12" s="21">
        <v>5</v>
      </c>
      <c r="E12" s="22">
        <v>7</v>
      </c>
      <c r="F12" s="23"/>
      <c r="G12" s="24">
        <v>7</v>
      </c>
      <c r="H12" s="25"/>
      <c r="I12" s="26"/>
      <c r="J12" s="27"/>
      <c r="K12" s="28">
        <v>10</v>
      </c>
      <c r="L12" s="15"/>
      <c r="M12" s="16"/>
      <c r="N12" s="15"/>
      <c r="O12" s="16"/>
      <c r="P12" s="30"/>
    </row>
    <row r="13" spans="1:16">
      <c r="A13" s="18" t="str">
        <f t="shared" si="0"/>
        <v>20260715-009</v>
      </c>
      <c r="B13" s="19">
        <f t="shared" si="1"/>
        <v>46218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20260715-010</v>
      </c>
      <c r="B14" s="19">
        <f t="shared" si="1"/>
        <v>46218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20260715-011</v>
      </c>
      <c r="B15" s="19">
        <f t="shared" si="1"/>
        <v>46218</v>
      </c>
      <c r="C15" s="33" t="s">
        <v>36</v>
      </c>
      <c r="D15" s="31"/>
      <c r="E15" s="22"/>
      <c r="F15" s="23"/>
      <c r="G15" s="24"/>
      <c r="H15" s="25">
        <v>8</v>
      </c>
      <c r="I15" s="26">
        <v>6</v>
      </c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20260715-012</v>
      </c>
      <c r="B16" s="19">
        <f t="shared" si="1"/>
        <v>46218</v>
      </c>
      <c r="C16" s="20" t="s">
        <v>37</v>
      </c>
      <c r="D16" s="21"/>
      <c r="E16" s="22"/>
      <c r="F16" s="23"/>
      <c r="G16" s="24"/>
      <c r="H16" s="25"/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20260715-013</v>
      </c>
      <c r="B17" s="19">
        <f t="shared" si="1"/>
        <v>46218</v>
      </c>
      <c r="C17" s="20" t="s">
        <v>38</v>
      </c>
      <c r="D17" s="31"/>
      <c r="E17" s="22"/>
      <c r="F17" s="23"/>
      <c r="G17" s="24">
        <v>1</v>
      </c>
      <c r="H17" s="25"/>
      <c r="I17" s="26"/>
      <c r="J17" s="27"/>
      <c r="K17" s="28"/>
      <c r="L17" s="15"/>
      <c r="M17" s="16"/>
      <c r="N17" s="15"/>
      <c r="O17" s="16"/>
      <c r="P17" s="17"/>
    </row>
    <row r="18" spans="1:16">
      <c r="A18" s="18" t="str">
        <f t="shared" si="0"/>
        <v>20260715-014</v>
      </c>
      <c r="B18" s="19">
        <f t="shared" si="1"/>
        <v>46218</v>
      </c>
      <c r="C18" s="20" t="s">
        <v>39</v>
      </c>
      <c r="D18" s="21"/>
      <c r="E18" s="22"/>
      <c r="F18" s="23"/>
      <c r="G18" s="24"/>
      <c r="H18" s="25"/>
      <c r="I18" s="26"/>
      <c r="J18" s="27"/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20260715-015</v>
      </c>
      <c r="B19" s="19">
        <f t="shared" si="1"/>
        <v>46218</v>
      </c>
      <c r="C19" s="20" t="s">
        <v>40</v>
      </c>
      <c r="D19" s="31"/>
      <c r="E19" s="22">
        <v>2</v>
      </c>
      <c r="F19" s="23"/>
      <c r="G19" s="24"/>
      <c r="H19" s="25"/>
      <c r="I19" s="26"/>
      <c r="J19" s="27"/>
      <c r="K19" s="28">
        <v>2</v>
      </c>
      <c r="L19" s="15"/>
      <c r="M19" s="16"/>
      <c r="N19" s="15"/>
      <c r="O19" s="16"/>
      <c r="P19" s="17"/>
    </row>
    <row r="20" spans="1:16">
      <c r="A20" s="18" t="str">
        <f t="shared" si="0"/>
        <v>20260715-016</v>
      </c>
      <c r="B20" s="19">
        <f t="shared" si="1"/>
        <v>46218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20260715-017</v>
      </c>
      <c r="B21" s="19">
        <f t="shared" si="1"/>
        <v>46218</v>
      </c>
      <c r="C21" s="20" t="s">
        <v>42</v>
      </c>
      <c r="D21" s="31"/>
      <c r="E21" s="22"/>
      <c r="F21" s="23"/>
      <c r="G21" s="24"/>
      <c r="H21" s="25"/>
      <c r="I21" s="26"/>
      <c r="J21" s="27"/>
      <c r="K21" s="28"/>
      <c r="L21" s="15"/>
      <c r="M21" s="16"/>
      <c r="N21" s="15"/>
      <c r="O21" s="16"/>
      <c r="P21" s="17"/>
    </row>
    <row r="22" spans="1:16">
      <c r="A22" s="18" t="str">
        <f t="shared" si="0"/>
        <v>20260715-018</v>
      </c>
      <c r="B22" s="19">
        <f t="shared" si="1"/>
        <v>46218</v>
      </c>
      <c r="C22" s="20" t="s">
        <v>43</v>
      </c>
      <c r="D22" s="21"/>
      <c r="E22" s="22">
        <v>1</v>
      </c>
      <c r="F22" s="23"/>
      <c r="G22" s="24">
        <v>1</v>
      </c>
      <c r="H22" s="25">
        <v>5</v>
      </c>
      <c r="I22" s="26">
        <v>6</v>
      </c>
      <c r="J22" s="27"/>
      <c r="K22" s="28">
        <v>2</v>
      </c>
      <c r="L22" s="15"/>
      <c r="M22" s="16"/>
      <c r="N22" s="15"/>
      <c r="O22" s="16"/>
      <c r="P22" s="30"/>
    </row>
    <row r="23" spans="1:16">
      <c r="A23" s="18" t="str">
        <f t="shared" si="0"/>
        <v>20260715-019</v>
      </c>
      <c r="B23" s="19">
        <f t="shared" si="1"/>
        <v>46218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20260715-020</v>
      </c>
      <c r="B24" s="19">
        <f t="shared" si="1"/>
        <v>46218</v>
      </c>
      <c r="C24" s="20" t="s">
        <v>45</v>
      </c>
      <c r="D24" s="21">
        <v>5</v>
      </c>
      <c r="E24" s="22"/>
      <c r="F24" s="23"/>
      <c r="G24" s="24"/>
      <c r="H24" s="25">
        <v>6</v>
      </c>
      <c r="I24" s="26">
        <v>2</v>
      </c>
      <c r="J24" s="27">
        <v>2</v>
      </c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20260715-021</v>
      </c>
      <c r="B25" s="19">
        <f t="shared" si="1"/>
        <v>46218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20260715-022</v>
      </c>
      <c r="B26" s="19">
        <f t="shared" si="1"/>
        <v>46218</v>
      </c>
      <c r="C26" s="20" t="s">
        <v>47</v>
      </c>
      <c r="D26" s="21"/>
      <c r="E26" s="22"/>
      <c r="F26" s="23"/>
      <c r="G26" s="24"/>
      <c r="H26" s="25"/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20260715-023</v>
      </c>
      <c r="B27" s="19">
        <f t="shared" si="1"/>
        <v>46218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20260715-024</v>
      </c>
      <c r="B28" s="19">
        <f t="shared" si="1"/>
        <v>46218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20260715-025</v>
      </c>
      <c r="B29" s="19">
        <f t="shared" si="1"/>
        <v>46218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20260715-026</v>
      </c>
      <c r="B30" s="19">
        <f t="shared" si="1"/>
        <v>46218</v>
      </c>
      <c r="C30" s="20" t="s">
        <v>51</v>
      </c>
      <c r="D30" s="21"/>
      <c r="E30" s="22"/>
      <c r="F30" s="23"/>
      <c r="G30" s="24"/>
      <c r="H30" s="25"/>
      <c r="I30" s="26"/>
      <c r="J30" s="27"/>
      <c r="K30" s="28"/>
      <c r="L30" s="15"/>
      <c r="M30" s="16"/>
      <c r="N30" s="15"/>
      <c r="O30" s="16"/>
      <c r="P30" s="30"/>
    </row>
    <row r="31" spans="1:16">
      <c r="A31" s="18" t="str">
        <f t="shared" si="0"/>
        <v>20260715-027</v>
      </c>
      <c r="B31" s="19">
        <f t="shared" si="1"/>
        <v>46218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20260715-028</v>
      </c>
      <c r="B32" s="19">
        <f t="shared" si="1"/>
        <v>46218</v>
      </c>
      <c r="C32" s="20" t="s">
        <v>53</v>
      </c>
      <c r="D32" s="21"/>
      <c r="E32" s="22"/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20260715-029</v>
      </c>
      <c r="B33" s="19">
        <f t="shared" si="1"/>
        <v>46218</v>
      </c>
      <c r="C33" s="20" t="s">
        <v>54</v>
      </c>
      <c r="D33" s="31"/>
      <c r="E33" s="22"/>
      <c r="F33" s="23"/>
      <c r="G33" s="24">
        <v>2</v>
      </c>
      <c r="H33" s="25"/>
      <c r="I33" s="26"/>
      <c r="J33" s="27"/>
      <c r="K33" s="28">
        <v>5</v>
      </c>
      <c r="L33" s="15"/>
      <c r="M33" s="16"/>
      <c r="N33" s="15"/>
      <c r="O33" s="16"/>
      <c r="P33" s="17"/>
    </row>
    <row r="34" spans="1:16">
      <c r="A34" s="18" t="str">
        <f t="shared" si="0"/>
        <v>20260715-030</v>
      </c>
      <c r="B34" s="19">
        <f t="shared" si="1"/>
        <v>46218</v>
      </c>
      <c r="C34" s="20" t="s">
        <v>55</v>
      </c>
      <c r="D34" s="21"/>
      <c r="E34" s="22"/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20260715-031</v>
      </c>
      <c r="B35" s="19">
        <f t="shared" si="1"/>
        <v>46218</v>
      </c>
      <c r="C35" s="20" t="s">
        <v>56</v>
      </c>
      <c r="D35" s="31"/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20260715-032</v>
      </c>
      <c r="B36" s="19">
        <f t="shared" si="1"/>
        <v>46218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20260715-033</v>
      </c>
      <c r="B37" s="19">
        <f t="shared" si="1"/>
        <v>46218</v>
      </c>
      <c r="C37" s="20" t="s">
        <v>58</v>
      </c>
      <c r="D37" s="31"/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20260715-034</v>
      </c>
      <c r="B38" s="19">
        <f t="shared" ref="B38:B69" si="3">$B$5</f>
        <v>46218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20260715-035</v>
      </c>
      <c r="B39" s="19">
        <f t="shared" si="3"/>
        <v>46218</v>
      </c>
      <c r="C39" s="20" t="s">
        <v>60</v>
      </c>
      <c r="D39" s="31"/>
      <c r="E39" s="22"/>
      <c r="F39" s="23"/>
      <c r="G39" s="24">
        <v>1</v>
      </c>
      <c r="H39" s="25"/>
      <c r="I39" s="26"/>
      <c r="J39" s="27"/>
      <c r="K39" s="28">
        <v>1</v>
      </c>
      <c r="L39" s="15"/>
      <c r="M39" s="16"/>
      <c r="N39" s="15"/>
      <c r="O39" s="16"/>
      <c r="P39" s="17"/>
    </row>
    <row r="40" spans="1:16">
      <c r="A40" s="18" t="str">
        <f t="shared" si="2"/>
        <v>20260715-036</v>
      </c>
      <c r="B40" s="19">
        <f t="shared" si="3"/>
        <v>46218</v>
      </c>
      <c r="C40" s="20" t="s">
        <v>61</v>
      </c>
      <c r="D40" s="21"/>
      <c r="E40" s="22"/>
      <c r="F40" s="23">
        <v>3</v>
      </c>
      <c r="G40" s="24"/>
      <c r="H40" s="25"/>
      <c r="I40" s="26"/>
      <c r="J40" s="27"/>
      <c r="K40" s="28">
        <v>3</v>
      </c>
      <c r="L40" s="15"/>
      <c r="M40" s="16"/>
      <c r="N40" s="15"/>
      <c r="O40" s="16"/>
      <c r="P40" s="30"/>
    </row>
    <row r="41" spans="1:16">
      <c r="A41" s="18" t="str">
        <f t="shared" si="2"/>
        <v>20260715-037</v>
      </c>
      <c r="B41" s="19">
        <f t="shared" si="3"/>
        <v>46218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20260715-038</v>
      </c>
      <c r="B42" s="19">
        <f t="shared" si="3"/>
        <v>46218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20260715-039</v>
      </c>
      <c r="B43" s="19">
        <f t="shared" si="3"/>
        <v>46218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20260715-040</v>
      </c>
      <c r="B44" s="19">
        <f t="shared" si="3"/>
        <v>46218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20260715-041</v>
      </c>
      <c r="B45" s="19">
        <f t="shared" si="3"/>
        <v>46218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20260715-042</v>
      </c>
      <c r="B46" s="19">
        <f t="shared" si="3"/>
        <v>46218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20260715-043</v>
      </c>
      <c r="B47" s="19">
        <f t="shared" si="3"/>
        <v>46218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20260715-044</v>
      </c>
      <c r="B48" s="19">
        <f t="shared" si="3"/>
        <v>46218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20260715-045</v>
      </c>
      <c r="B49" s="19">
        <f t="shared" si="3"/>
        <v>46218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20260715-046</v>
      </c>
      <c r="B50" s="19">
        <f t="shared" si="3"/>
        <v>46218</v>
      </c>
      <c r="C50" s="20" t="s">
        <v>71</v>
      </c>
      <c r="D50" s="21"/>
      <c r="E50" s="22">
        <v>1</v>
      </c>
      <c r="F50" s="23"/>
      <c r="G50" s="24"/>
      <c r="H50" s="25"/>
      <c r="I50" s="26"/>
      <c r="J50" s="27"/>
      <c r="K50" s="28">
        <v>1</v>
      </c>
      <c r="L50" s="15"/>
      <c r="M50" s="16"/>
      <c r="N50" s="15"/>
      <c r="O50" s="16"/>
      <c r="P50" s="30"/>
    </row>
    <row r="51" spans="1:16">
      <c r="A51" s="18" t="str">
        <f t="shared" si="2"/>
        <v>20260715-047</v>
      </c>
      <c r="B51" s="19">
        <f t="shared" si="3"/>
        <v>46218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20260715-048</v>
      </c>
      <c r="B52" s="19">
        <f t="shared" si="3"/>
        <v>46218</v>
      </c>
      <c r="C52" s="20" t="s">
        <v>73</v>
      </c>
      <c r="D52" s="21"/>
      <c r="E52" s="22"/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20260715-049</v>
      </c>
      <c r="B53" s="19">
        <f t="shared" si="3"/>
        <v>46218</v>
      </c>
      <c r="C53" s="20" t="s">
        <v>74</v>
      </c>
      <c r="D53" s="31"/>
      <c r="E53" s="22"/>
      <c r="F53" s="23"/>
      <c r="G53" s="24"/>
      <c r="H53" s="25">
        <v>2</v>
      </c>
      <c r="I53" s="26">
        <v>4</v>
      </c>
      <c r="J53" s="27">
        <v>1</v>
      </c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20260715-050</v>
      </c>
      <c r="B54" s="19">
        <f t="shared" si="3"/>
        <v>46218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20260715-051</v>
      </c>
      <c r="B55" s="19">
        <f t="shared" si="3"/>
        <v>46218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20260715-052</v>
      </c>
      <c r="B56" s="19">
        <f t="shared" si="3"/>
        <v>46218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20260715-053</v>
      </c>
      <c r="B57" s="19">
        <f t="shared" si="3"/>
        <v>46218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20260715-054</v>
      </c>
      <c r="B58" s="19">
        <f t="shared" si="3"/>
        <v>46218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20260715-055</v>
      </c>
      <c r="B59" s="19">
        <f t="shared" si="3"/>
        <v>46218</v>
      </c>
      <c r="C59" s="20" t="s">
        <v>80</v>
      </c>
      <c r="D59" s="31"/>
      <c r="E59" s="22"/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20260715-056</v>
      </c>
      <c r="B60" s="19">
        <f t="shared" si="3"/>
        <v>46218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20260715-057</v>
      </c>
      <c r="B61" s="19">
        <f t="shared" si="3"/>
        <v>46218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20260715-058</v>
      </c>
      <c r="B62" s="19">
        <f t="shared" si="3"/>
        <v>46218</v>
      </c>
      <c r="C62" s="20" t="s">
        <v>83</v>
      </c>
      <c r="D62" s="31"/>
      <c r="E62" s="22"/>
      <c r="F62" s="23"/>
      <c r="G62" s="24"/>
      <c r="H62" s="25"/>
      <c r="I62" s="26"/>
      <c r="J62" s="27"/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20260715-059</v>
      </c>
      <c r="B63" s="19">
        <f t="shared" si="3"/>
        <v>46218</v>
      </c>
      <c r="C63" s="20" t="s">
        <v>84</v>
      </c>
      <c r="D63" s="21">
        <v>20</v>
      </c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20260715-060</v>
      </c>
      <c r="B64" s="19">
        <f t="shared" si="3"/>
        <v>46218</v>
      </c>
      <c r="C64" s="20" t="s">
        <v>85</v>
      </c>
      <c r="D64" s="31">
        <v>10</v>
      </c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20260715-061</v>
      </c>
      <c r="B65" s="19">
        <f t="shared" si="3"/>
        <v>46218</v>
      </c>
      <c r="C65" s="20" t="s">
        <v>86</v>
      </c>
      <c r="D65" s="21">
        <v>20</v>
      </c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20260715-062</v>
      </c>
      <c r="B66" s="19">
        <f t="shared" si="3"/>
        <v>46218</v>
      </c>
      <c r="C66" s="20" t="s">
        <v>87</v>
      </c>
      <c r="D66" s="31">
        <v>10</v>
      </c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20260715-063</v>
      </c>
      <c r="B67" s="19">
        <f t="shared" si="3"/>
        <v>46218</v>
      </c>
      <c r="C67" s="20" t="s">
        <v>88</v>
      </c>
      <c r="D67" s="21"/>
      <c r="E67" s="22"/>
      <c r="F67" s="23"/>
      <c r="G67" s="24"/>
      <c r="H67" s="25">
        <v>6</v>
      </c>
      <c r="I67" s="26">
        <v>3</v>
      </c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20260715-064</v>
      </c>
      <c r="B68" s="19">
        <f t="shared" si="3"/>
        <v>46218</v>
      </c>
      <c r="C68" s="20" t="s">
        <v>89</v>
      </c>
      <c r="D68" s="31"/>
      <c r="E68" s="22">
        <v>3</v>
      </c>
      <c r="F68" s="23"/>
      <c r="G68" s="24"/>
      <c r="H68" s="25"/>
      <c r="I68" s="26"/>
      <c r="J68" s="27"/>
      <c r="K68" s="28">
        <v>3</v>
      </c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20260715-065</v>
      </c>
      <c r="B69" s="19">
        <f t="shared" si="3"/>
        <v>46218</v>
      </c>
      <c r="C69" s="20" t="s">
        <v>90</v>
      </c>
      <c r="D69" s="21"/>
      <c r="E69" s="22"/>
      <c r="F69" s="23"/>
      <c r="G69" s="24"/>
      <c r="H69" s="25">
        <v>2</v>
      </c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20260715-066</v>
      </c>
      <c r="B70" s="19">
        <f t="shared" ref="B70:B80" si="5">$B$5</f>
        <v>46218</v>
      </c>
      <c r="C70" s="20" t="s">
        <v>91</v>
      </c>
      <c r="D70" s="31"/>
      <c r="E70" s="22"/>
      <c r="F70" s="23"/>
      <c r="G70" s="24">
        <v>1</v>
      </c>
      <c r="H70" s="25"/>
      <c r="I70" s="26"/>
      <c r="J70" s="27">
        <v>1</v>
      </c>
      <c r="K70" s="28">
        <v>1</v>
      </c>
      <c r="L70" s="15"/>
      <c r="M70" s="16"/>
      <c r="N70" s="15"/>
      <c r="O70" s="16"/>
      <c r="P70" s="17"/>
    </row>
    <row r="71" spans="1:16">
      <c r="A71" s="18" t="str">
        <f t="shared" si="4"/>
        <v>20260715-067</v>
      </c>
      <c r="B71" s="19">
        <f t="shared" si="5"/>
        <v>46218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20260715-068</v>
      </c>
      <c r="B72" s="19">
        <f t="shared" si="5"/>
        <v>46218</v>
      </c>
      <c r="C72" s="20" t="s">
        <v>93</v>
      </c>
      <c r="D72" s="31"/>
      <c r="E72" s="22">
        <v>1</v>
      </c>
      <c r="F72" s="23"/>
      <c r="G72" s="24"/>
      <c r="H72" s="25"/>
      <c r="I72" s="26"/>
      <c r="J72" s="27"/>
      <c r="K72" s="28">
        <v>1</v>
      </c>
      <c r="L72" s="15"/>
      <c r="M72" s="16"/>
      <c r="N72" s="15"/>
      <c r="O72" s="16"/>
      <c r="P72" s="17"/>
    </row>
    <row r="73" spans="1:16">
      <c r="A73" s="18" t="str">
        <f t="shared" si="4"/>
        <v>20260715-069</v>
      </c>
      <c r="B73" s="19">
        <f t="shared" si="5"/>
        <v>46218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20260715-070</v>
      </c>
      <c r="B74" s="19">
        <f t="shared" si="5"/>
        <v>46218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1</v>
      </c>
      <c r="M74" s="16">
        <v>1</v>
      </c>
      <c r="N74" s="15"/>
      <c r="O74" s="16"/>
    </row>
    <row r="75" spans="1:16">
      <c r="A75" s="18" t="str">
        <f t="shared" si="4"/>
        <v>20260715-071</v>
      </c>
      <c r="B75" s="19">
        <f t="shared" si="5"/>
        <v>46218</v>
      </c>
      <c r="C75" s="20" t="s">
        <v>96</v>
      </c>
      <c r="D75" s="21"/>
      <c r="E75" s="22"/>
      <c r="F75" s="23"/>
      <c r="G75" s="24">
        <v>2</v>
      </c>
      <c r="H75" s="25"/>
      <c r="I75" s="26"/>
      <c r="J75" s="27"/>
      <c r="K75" s="28">
        <v>2</v>
      </c>
      <c r="L75" s="15"/>
      <c r="M75" s="16"/>
      <c r="N75" s="15"/>
      <c r="O75" s="16"/>
      <c r="P75" s="30"/>
    </row>
    <row r="76" spans="1:16">
      <c r="A76" s="18" t="str">
        <f t="shared" si="4"/>
        <v>20260715-072</v>
      </c>
      <c r="B76" s="19">
        <f t="shared" si="5"/>
        <v>46218</v>
      </c>
      <c r="C76" s="20" t="s">
        <v>97</v>
      </c>
      <c r="D76" s="31"/>
      <c r="E76" s="22"/>
      <c r="F76" s="23"/>
      <c r="G76" s="24"/>
      <c r="H76" s="25"/>
      <c r="I76" s="26"/>
      <c r="J76" s="27"/>
      <c r="K76" s="28"/>
      <c r="L76" s="15"/>
      <c r="M76" s="16"/>
      <c r="N76" s="15"/>
      <c r="O76" s="16"/>
    </row>
    <row r="77" spans="1:16">
      <c r="A77" s="18" t="str">
        <f t="shared" si="4"/>
        <v>20260715-073</v>
      </c>
      <c r="B77" s="19">
        <f t="shared" si="5"/>
        <v>46218</v>
      </c>
      <c r="C77" s="20" t="s">
        <v>98</v>
      </c>
      <c r="D77" s="21"/>
      <c r="E77" s="22"/>
      <c r="F77" s="23"/>
      <c r="G77" s="24">
        <v>1</v>
      </c>
      <c r="H77" s="25"/>
      <c r="I77" s="26"/>
      <c r="J77" s="27"/>
      <c r="K77" s="28"/>
      <c r="L77" s="34">
        <v>1</v>
      </c>
      <c r="M77" s="16"/>
      <c r="N77" s="15"/>
      <c r="O77" s="16"/>
      <c r="P77" s="30"/>
    </row>
    <row r="78" spans="1:16">
      <c r="A78" s="18" t="str">
        <f t="shared" si="4"/>
        <v>20260715-074</v>
      </c>
      <c r="B78" s="19">
        <f t="shared" si="5"/>
        <v>46218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20260715-075</v>
      </c>
      <c r="B79" s="19">
        <f t="shared" si="5"/>
        <v>46218</v>
      </c>
      <c r="C79" s="20" t="s">
        <v>100</v>
      </c>
      <c r="D79" s="21"/>
      <c r="E79" s="22">
        <v>1</v>
      </c>
      <c r="F79" s="23"/>
      <c r="G79" s="24"/>
      <c r="H79" s="25"/>
      <c r="I79" s="26"/>
      <c r="J79" s="27"/>
      <c r="K79" s="28">
        <v>1</v>
      </c>
      <c r="L79" s="15"/>
      <c r="M79" s="16"/>
      <c r="N79" s="15"/>
      <c r="O79" s="16"/>
      <c r="P79" s="30"/>
    </row>
    <row r="80" spans="1:16">
      <c r="A80" s="18" t="str">
        <f t="shared" si="4"/>
        <v>20260715-076</v>
      </c>
      <c r="B80" s="19">
        <f t="shared" si="5"/>
        <v>46218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80"/>
  <sheetViews>
    <sheetView zoomScale="85" zoomScaleNormal="85" workbookViewId="0">
      <selection activeCell="C14" sqref="C1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20260716-001</v>
      </c>
      <c r="B5" s="5">
        <v>46219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20260716-002</v>
      </c>
      <c r="B6" s="19">
        <f t="shared" ref="B6:B37" si="1">$B$5</f>
        <v>46219</v>
      </c>
      <c r="C6" s="20" t="s">
        <v>28</v>
      </c>
      <c r="D6" s="21">
        <v>5</v>
      </c>
      <c r="E6" s="22"/>
      <c r="F6" s="23"/>
      <c r="G6" s="24">
        <v>7</v>
      </c>
      <c r="H6" s="25"/>
      <c r="I6" s="26"/>
      <c r="J6" s="27"/>
      <c r="K6" s="28">
        <v>8</v>
      </c>
      <c r="L6" s="15"/>
      <c r="M6" s="29"/>
      <c r="N6" s="15"/>
      <c r="O6" s="29"/>
      <c r="P6" s="30"/>
    </row>
    <row r="7" spans="1:16">
      <c r="A7" s="18" t="str">
        <f t="shared" si="0"/>
        <v>20260716-003</v>
      </c>
      <c r="B7" s="19">
        <f t="shared" si="1"/>
        <v>46219</v>
      </c>
      <c r="C7" s="20" t="s">
        <v>29</v>
      </c>
      <c r="D7" s="31"/>
      <c r="E7" s="22">
        <v>2</v>
      </c>
      <c r="F7" s="23"/>
      <c r="G7" s="24">
        <v>1</v>
      </c>
      <c r="H7" s="25"/>
      <c r="I7" s="26"/>
      <c r="J7" s="27"/>
      <c r="K7" s="28">
        <v>3</v>
      </c>
      <c r="L7" s="15"/>
      <c r="M7" s="29"/>
      <c r="N7" s="15"/>
      <c r="O7" s="29"/>
      <c r="P7" s="32"/>
    </row>
    <row r="8" spans="1:16">
      <c r="A8" s="18" t="str">
        <f t="shared" si="0"/>
        <v>20260716-004</v>
      </c>
      <c r="B8" s="19">
        <f t="shared" si="1"/>
        <v>46219</v>
      </c>
      <c r="C8" s="20" t="s">
        <v>30</v>
      </c>
      <c r="D8" s="21"/>
      <c r="E8" s="22">
        <v>2</v>
      </c>
      <c r="F8" s="23"/>
      <c r="G8" s="24">
        <v>1</v>
      </c>
      <c r="H8" s="25"/>
      <c r="I8" s="26"/>
      <c r="J8" s="27"/>
      <c r="K8" s="28">
        <v>4</v>
      </c>
      <c r="L8" s="15"/>
      <c r="M8" s="16"/>
      <c r="N8" s="15"/>
      <c r="O8" s="16"/>
      <c r="P8" s="30"/>
    </row>
    <row r="9" spans="1:16">
      <c r="A9" s="18" t="str">
        <f t="shared" si="0"/>
        <v>20260716-005</v>
      </c>
      <c r="B9" s="19">
        <f t="shared" si="1"/>
        <v>46219</v>
      </c>
      <c r="C9" s="20" t="s">
        <v>31</v>
      </c>
      <c r="D9" s="31"/>
      <c r="E9" s="22"/>
      <c r="F9" s="23"/>
      <c r="G9" s="24">
        <v>1</v>
      </c>
      <c r="H9" s="25"/>
      <c r="I9" s="26"/>
      <c r="J9" s="27"/>
      <c r="K9" s="28">
        <v>1</v>
      </c>
      <c r="L9" s="15"/>
      <c r="M9" s="29"/>
      <c r="N9" s="15"/>
      <c r="O9" s="29"/>
      <c r="P9" s="17"/>
    </row>
    <row r="10" spans="1:16">
      <c r="A10" s="18" t="str">
        <f t="shared" si="0"/>
        <v>20260716-006</v>
      </c>
      <c r="B10" s="19">
        <f t="shared" si="1"/>
        <v>46219</v>
      </c>
      <c r="C10" s="20" t="s">
        <v>32</v>
      </c>
      <c r="D10" s="21"/>
      <c r="E10" s="22"/>
      <c r="F10" s="23"/>
      <c r="G10" s="24"/>
      <c r="H10" s="25"/>
      <c r="I10" s="26"/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20260716-007</v>
      </c>
      <c r="B11" s="19">
        <f t="shared" si="1"/>
        <v>46219</v>
      </c>
      <c r="C11" s="20" t="s">
        <v>33</v>
      </c>
      <c r="D11" s="31"/>
      <c r="E11" s="22"/>
      <c r="F11" s="23"/>
      <c r="G11" s="24"/>
      <c r="H11" s="25">
        <v>20</v>
      </c>
      <c r="I11" s="26">
        <v>30</v>
      </c>
      <c r="J11" s="27">
        <v>10</v>
      </c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20260716-008</v>
      </c>
      <c r="B12" s="19">
        <f t="shared" si="1"/>
        <v>46219</v>
      </c>
      <c r="C12" s="33" t="s">
        <v>34</v>
      </c>
      <c r="D12" s="21">
        <v>25</v>
      </c>
      <c r="E12" s="22">
        <v>10</v>
      </c>
      <c r="F12" s="23"/>
      <c r="G12" s="24">
        <v>8</v>
      </c>
      <c r="H12" s="25"/>
      <c r="I12" s="26"/>
      <c r="J12" s="27"/>
      <c r="K12" s="28">
        <v>8</v>
      </c>
      <c r="L12" s="15"/>
      <c r="M12" s="16"/>
      <c r="N12" s="15"/>
      <c r="O12" s="16"/>
      <c r="P12" s="30"/>
    </row>
    <row r="13" spans="1:16">
      <c r="A13" s="18" t="str">
        <f t="shared" si="0"/>
        <v>20260716-009</v>
      </c>
      <c r="B13" s="19">
        <f t="shared" si="1"/>
        <v>46219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20260716-010</v>
      </c>
      <c r="B14" s="19">
        <f t="shared" si="1"/>
        <v>46219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20260716-011</v>
      </c>
      <c r="B15" s="19">
        <f t="shared" si="1"/>
        <v>46219</v>
      </c>
      <c r="C15" s="33" t="s">
        <v>36</v>
      </c>
      <c r="D15" s="31"/>
      <c r="E15" s="22"/>
      <c r="F15" s="23"/>
      <c r="G15" s="24"/>
      <c r="H15" s="25"/>
      <c r="I15" s="26"/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20260716-012</v>
      </c>
      <c r="B16" s="19">
        <f t="shared" si="1"/>
        <v>46219</v>
      </c>
      <c r="C16" s="20" t="s">
        <v>37</v>
      </c>
      <c r="D16" s="21"/>
      <c r="E16" s="22"/>
      <c r="F16" s="23"/>
      <c r="G16" s="24"/>
      <c r="H16" s="25">
        <v>5</v>
      </c>
      <c r="I16" s="26">
        <v>2</v>
      </c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20260716-013</v>
      </c>
      <c r="B17" s="19">
        <f t="shared" si="1"/>
        <v>46219</v>
      </c>
      <c r="C17" s="20" t="s">
        <v>38</v>
      </c>
      <c r="D17" s="31"/>
      <c r="E17" s="22"/>
      <c r="F17" s="23"/>
      <c r="G17" s="24">
        <v>1</v>
      </c>
      <c r="H17" s="25">
        <v>1</v>
      </c>
      <c r="I17" s="26"/>
      <c r="J17" s="27"/>
      <c r="K17" s="28">
        <v>2</v>
      </c>
      <c r="L17" s="15"/>
      <c r="M17" s="16"/>
      <c r="N17" s="15"/>
      <c r="O17" s="16"/>
      <c r="P17" s="17"/>
    </row>
    <row r="18" spans="1:16">
      <c r="A18" s="18" t="str">
        <f t="shared" si="0"/>
        <v>20260716-014</v>
      </c>
      <c r="B18" s="19">
        <f t="shared" si="1"/>
        <v>46219</v>
      </c>
      <c r="C18" s="20" t="s">
        <v>39</v>
      </c>
      <c r="D18" s="21"/>
      <c r="E18" s="22"/>
      <c r="F18" s="23"/>
      <c r="G18" s="24"/>
      <c r="H18" s="25">
        <v>1</v>
      </c>
      <c r="I18" s="26">
        <v>1</v>
      </c>
      <c r="J18" s="27"/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20260716-015</v>
      </c>
      <c r="B19" s="19">
        <f t="shared" si="1"/>
        <v>46219</v>
      </c>
      <c r="C19" s="20" t="s">
        <v>40</v>
      </c>
      <c r="D19" s="31"/>
      <c r="E19" s="22">
        <v>1</v>
      </c>
      <c r="F19" s="23"/>
      <c r="G19" s="24"/>
      <c r="H19" s="25">
        <v>5</v>
      </c>
      <c r="I19" s="26"/>
      <c r="J19" s="27"/>
      <c r="K19" s="28"/>
      <c r="L19" s="15"/>
      <c r="M19" s="16"/>
      <c r="N19" s="15"/>
      <c r="O19" s="16"/>
      <c r="P19" s="17"/>
    </row>
    <row r="20" spans="1:16">
      <c r="A20" s="18" t="str">
        <f t="shared" si="0"/>
        <v>20260716-016</v>
      </c>
      <c r="B20" s="19">
        <f t="shared" si="1"/>
        <v>46219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20260716-017</v>
      </c>
      <c r="B21" s="19">
        <f t="shared" si="1"/>
        <v>46219</v>
      </c>
      <c r="C21" s="20" t="s">
        <v>42</v>
      </c>
      <c r="D21" s="31"/>
      <c r="E21" s="22"/>
      <c r="F21" s="23"/>
      <c r="G21" s="24">
        <v>1</v>
      </c>
      <c r="H21" s="25"/>
      <c r="I21" s="26"/>
      <c r="J21" s="27"/>
      <c r="K21" s="28">
        <v>1</v>
      </c>
      <c r="L21" s="15"/>
      <c r="M21" s="16"/>
      <c r="N21" s="15"/>
      <c r="O21" s="16"/>
      <c r="P21" s="17"/>
    </row>
    <row r="22" spans="1:16">
      <c r="A22" s="18" t="str">
        <f t="shared" si="0"/>
        <v>20260716-018</v>
      </c>
      <c r="B22" s="19">
        <f t="shared" si="1"/>
        <v>46219</v>
      </c>
      <c r="C22" s="20" t="s">
        <v>43</v>
      </c>
      <c r="D22" s="21"/>
      <c r="E22" s="22"/>
      <c r="F22" s="23"/>
      <c r="G22" s="24"/>
      <c r="H22" s="25"/>
      <c r="I22" s="26"/>
      <c r="J22" s="27"/>
      <c r="K22" s="28"/>
      <c r="L22" s="15"/>
      <c r="M22" s="16"/>
      <c r="N22" s="15"/>
      <c r="O22" s="16"/>
      <c r="P22" s="30"/>
    </row>
    <row r="23" spans="1:16">
      <c r="A23" s="18" t="str">
        <f t="shared" si="0"/>
        <v>20260716-019</v>
      </c>
      <c r="B23" s="19">
        <f t="shared" si="1"/>
        <v>46219</v>
      </c>
      <c r="C23" s="20" t="s">
        <v>44</v>
      </c>
      <c r="D23" s="31"/>
      <c r="E23" s="22"/>
      <c r="F23" s="23"/>
      <c r="G23" s="24"/>
      <c r="H23" s="25">
        <v>2</v>
      </c>
      <c r="I23" s="26">
        <v>4</v>
      </c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20260716-020</v>
      </c>
      <c r="B24" s="19">
        <f t="shared" si="1"/>
        <v>46219</v>
      </c>
      <c r="C24" s="20" t="s">
        <v>45</v>
      </c>
      <c r="D24" s="21"/>
      <c r="E24" s="22"/>
      <c r="F24" s="23"/>
      <c r="G24" s="24"/>
      <c r="H24" s="25"/>
      <c r="I24" s="26"/>
      <c r="J24" s="27"/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20260716-021</v>
      </c>
      <c r="B25" s="19">
        <f t="shared" si="1"/>
        <v>46219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20260716-022</v>
      </c>
      <c r="B26" s="19">
        <f t="shared" si="1"/>
        <v>46219</v>
      </c>
      <c r="C26" s="20" t="s">
        <v>47</v>
      </c>
      <c r="D26" s="21"/>
      <c r="E26" s="22"/>
      <c r="F26" s="23"/>
      <c r="G26" s="24"/>
      <c r="H26" s="25">
        <v>6</v>
      </c>
      <c r="I26" s="26">
        <v>2</v>
      </c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20260716-023</v>
      </c>
      <c r="B27" s="19">
        <f t="shared" si="1"/>
        <v>46219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20260716-024</v>
      </c>
      <c r="B28" s="19">
        <f t="shared" si="1"/>
        <v>46219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20260716-025</v>
      </c>
      <c r="B29" s="19">
        <f t="shared" si="1"/>
        <v>46219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20260716-026</v>
      </c>
      <c r="B30" s="19">
        <f t="shared" si="1"/>
        <v>46219</v>
      </c>
      <c r="C30" s="20" t="s">
        <v>51</v>
      </c>
      <c r="D30" s="21"/>
      <c r="E30" s="22">
        <v>2</v>
      </c>
      <c r="F30" s="23"/>
      <c r="G30" s="24">
        <v>2</v>
      </c>
      <c r="H30" s="25"/>
      <c r="I30" s="26"/>
      <c r="J30" s="27"/>
      <c r="K30" s="28">
        <v>5</v>
      </c>
      <c r="L30" s="15"/>
      <c r="M30" s="16"/>
      <c r="N30" s="15"/>
      <c r="O30" s="16"/>
      <c r="P30" s="30"/>
    </row>
    <row r="31" spans="1:16">
      <c r="A31" s="18" t="str">
        <f t="shared" si="0"/>
        <v>20260716-027</v>
      </c>
      <c r="B31" s="19">
        <f t="shared" si="1"/>
        <v>46219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20260716-028</v>
      </c>
      <c r="B32" s="19">
        <f t="shared" si="1"/>
        <v>46219</v>
      </c>
      <c r="C32" s="20" t="s">
        <v>53</v>
      </c>
      <c r="D32" s="21"/>
      <c r="E32" s="22">
        <v>3</v>
      </c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20260716-029</v>
      </c>
      <c r="B33" s="19">
        <f t="shared" si="1"/>
        <v>46219</v>
      </c>
      <c r="C33" s="20" t="s">
        <v>54</v>
      </c>
      <c r="D33" s="31"/>
      <c r="E33" s="22"/>
      <c r="F33" s="23"/>
      <c r="G33" s="24">
        <v>1</v>
      </c>
      <c r="H33" s="25"/>
      <c r="I33" s="26"/>
      <c r="J33" s="27"/>
      <c r="K33" s="28">
        <v>1</v>
      </c>
      <c r="L33" s="15"/>
      <c r="M33" s="16"/>
      <c r="N33" s="15"/>
      <c r="O33" s="16"/>
      <c r="P33" s="17"/>
    </row>
    <row r="34" spans="1:16">
      <c r="A34" s="18" t="str">
        <f t="shared" si="0"/>
        <v>20260716-030</v>
      </c>
      <c r="B34" s="19">
        <f t="shared" si="1"/>
        <v>46219</v>
      </c>
      <c r="C34" s="20" t="s">
        <v>55</v>
      </c>
      <c r="D34" s="21"/>
      <c r="E34" s="22">
        <v>1</v>
      </c>
      <c r="F34" s="23"/>
      <c r="G34" s="24"/>
      <c r="H34" s="25"/>
      <c r="I34" s="26"/>
      <c r="J34" s="27"/>
      <c r="K34" s="28">
        <v>1</v>
      </c>
      <c r="L34" s="15"/>
      <c r="M34" s="16"/>
      <c r="N34" s="15"/>
      <c r="O34" s="16"/>
      <c r="P34" s="30"/>
    </row>
    <row r="35" spans="1:16">
      <c r="A35" s="18" t="str">
        <f t="shared" si="0"/>
        <v>20260716-031</v>
      </c>
      <c r="B35" s="19">
        <f t="shared" si="1"/>
        <v>46219</v>
      </c>
      <c r="C35" s="20" t="s">
        <v>56</v>
      </c>
      <c r="D35" s="31">
        <v>10</v>
      </c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20260716-032</v>
      </c>
      <c r="B36" s="19">
        <f t="shared" si="1"/>
        <v>46219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20260716-033</v>
      </c>
      <c r="B37" s="19">
        <f t="shared" si="1"/>
        <v>46219</v>
      </c>
      <c r="C37" s="20" t="s">
        <v>58</v>
      </c>
      <c r="D37" s="31">
        <v>20</v>
      </c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20260716-034</v>
      </c>
      <c r="B38" s="19">
        <f t="shared" ref="B38:B69" si="3">$B$5</f>
        <v>46219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20260716-035</v>
      </c>
      <c r="B39" s="19">
        <f t="shared" si="3"/>
        <v>46219</v>
      </c>
      <c r="C39" s="20" t="s">
        <v>60</v>
      </c>
      <c r="D39" s="31"/>
      <c r="E39" s="22"/>
      <c r="F39" s="23"/>
      <c r="G39" s="24"/>
      <c r="H39" s="25"/>
      <c r="I39" s="26"/>
      <c r="J39" s="27"/>
      <c r="K39" s="28"/>
      <c r="L39" s="15"/>
      <c r="M39" s="16"/>
      <c r="N39" s="15"/>
      <c r="O39" s="16"/>
      <c r="P39" s="17"/>
    </row>
    <row r="40" spans="1:16">
      <c r="A40" s="18" t="str">
        <f t="shared" si="2"/>
        <v>20260716-036</v>
      </c>
      <c r="B40" s="19">
        <f t="shared" si="3"/>
        <v>46219</v>
      </c>
      <c r="C40" s="20" t="s">
        <v>61</v>
      </c>
      <c r="D40" s="21"/>
      <c r="E40" s="22"/>
      <c r="F40" s="23"/>
      <c r="G40" s="24"/>
      <c r="H40" s="25"/>
      <c r="I40" s="26"/>
      <c r="J40" s="27"/>
      <c r="K40" s="28"/>
      <c r="L40" s="15"/>
      <c r="M40" s="16"/>
      <c r="N40" s="15"/>
      <c r="O40" s="16"/>
      <c r="P40" s="30"/>
    </row>
    <row r="41" spans="1:16">
      <c r="A41" s="18" t="str">
        <f t="shared" si="2"/>
        <v>20260716-037</v>
      </c>
      <c r="B41" s="19">
        <f t="shared" si="3"/>
        <v>46219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20260716-038</v>
      </c>
      <c r="B42" s="19">
        <f t="shared" si="3"/>
        <v>46219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20260716-039</v>
      </c>
      <c r="B43" s="19">
        <f t="shared" si="3"/>
        <v>46219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20260716-040</v>
      </c>
      <c r="B44" s="19">
        <f t="shared" si="3"/>
        <v>46219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20260716-041</v>
      </c>
      <c r="B45" s="19">
        <f t="shared" si="3"/>
        <v>46219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20260716-042</v>
      </c>
      <c r="B46" s="19">
        <f t="shared" si="3"/>
        <v>46219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20260716-043</v>
      </c>
      <c r="B47" s="19">
        <f t="shared" si="3"/>
        <v>46219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20260716-044</v>
      </c>
      <c r="B48" s="19">
        <f t="shared" si="3"/>
        <v>46219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20260716-045</v>
      </c>
      <c r="B49" s="19">
        <f t="shared" si="3"/>
        <v>46219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20260716-046</v>
      </c>
      <c r="B50" s="19">
        <f t="shared" si="3"/>
        <v>46219</v>
      </c>
      <c r="C50" s="20" t="s">
        <v>71</v>
      </c>
      <c r="D50" s="21"/>
      <c r="E50" s="22"/>
      <c r="F50" s="23"/>
      <c r="G50" s="24"/>
      <c r="H50" s="25"/>
      <c r="I50" s="26"/>
      <c r="J50" s="27"/>
      <c r="K50" s="28"/>
      <c r="L50" s="15"/>
      <c r="M50" s="16"/>
      <c r="N50" s="15"/>
      <c r="O50" s="16"/>
      <c r="P50" s="30"/>
    </row>
    <row r="51" spans="1:16">
      <c r="A51" s="18" t="str">
        <f t="shared" si="2"/>
        <v>20260716-047</v>
      </c>
      <c r="B51" s="19">
        <f t="shared" si="3"/>
        <v>46219</v>
      </c>
      <c r="C51" s="20" t="s">
        <v>72</v>
      </c>
      <c r="D51" s="31"/>
      <c r="E51" s="22"/>
      <c r="F51" s="23"/>
      <c r="G51" s="24">
        <v>1</v>
      </c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20260716-048</v>
      </c>
      <c r="B52" s="19">
        <f t="shared" si="3"/>
        <v>46219</v>
      </c>
      <c r="C52" s="20" t="s">
        <v>73</v>
      </c>
      <c r="D52" s="21"/>
      <c r="E52" s="22"/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20260716-049</v>
      </c>
      <c r="B53" s="19">
        <f t="shared" si="3"/>
        <v>46219</v>
      </c>
      <c r="C53" s="20" t="s">
        <v>74</v>
      </c>
      <c r="D53" s="31"/>
      <c r="E53" s="22"/>
      <c r="F53" s="23"/>
      <c r="G53" s="24"/>
      <c r="H53" s="25"/>
      <c r="I53" s="26">
        <v>4</v>
      </c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20260716-050</v>
      </c>
      <c r="B54" s="19">
        <f t="shared" si="3"/>
        <v>46219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20260716-051</v>
      </c>
      <c r="B55" s="19">
        <f t="shared" si="3"/>
        <v>46219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20260716-052</v>
      </c>
      <c r="B56" s="19">
        <f t="shared" si="3"/>
        <v>46219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20260716-053</v>
      </c>
      <c r="B57" s="19">
        <f t="shared" si="3"/>
        <v>46219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20260716-054</v>
      </c>
      <c r="B58" s="19">
        <f t="shared" si="3"/>
        <v>46219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20260716-055</v>
      </c>
      <c r="B59" s="19">
        <f t="shared" si="3"/>
        <v>46219</v>
      </c>
      <c r="C59" s="20" t="s">
        <v>80</v>
      </c>
      <c r="D59" s="31"/>
      <c r="E59" s="22"/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20260716-056</v>
      </c>
      <c r="B60" s="19">
        <f t="shared" si="3"/>
        <v>46219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20260716-057</v>
      </c>
      <c r="B61" s="19">
        <f t="shared" si="3"/>
        <v>46219</v>
      </c>
      <c r="C61" s="20" t="s">
        <v>82</v>
      </c>
      <c r="D61" s="21"/>
      <c r="E61" s="22">
        <v>1</v>
      </c>
      <c r="F61" s="23"/>
      <c r="G61" s="24">
        <v>2</v>
      </c>
      <c r="H61" s="25"/>
      <c r="I61" s="26"/>
      <c r="J61" s="27">
        <v>5</v>
      </c>
      <c r="K61" s="28">
        <v>2</v>
      </c>
      <c r="L61" s="15"/>
      <c r="M61" s="16"/>
      <c r="N61" s="15"/>
      <c r="O61" s="16"/>
      <c r="P61" s="30"/>
    </row>
    <row r="62" spans="1:16">
      <c r="A62" s="18" t="str">
        <f t="shared" si="2"/>
        <v>20260716-058</v>
      </c>
      <c r="B62" s="19">
        <f t="shared" si="3"/>
        <v>46219</v>
      </c>
      <c r="C62" s="20" t="s">
        <v>83</v>
      </c>
      <c r="D62" s="31"/>
      <c r="E62" s="22"/>
      <c r="F62" s="23"/>
      <c r="G62" s="24"/>
      <c r="H62" s="25">
        <v>3</v>
      </c>
      <c r="I62" s="26">
        <v>7</v>
      </c>
      <c r="J62" s="27">
        <v>2</v>
      </c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20260716-059</v>
      </c>
      <c r="B63" s="19">
        <f t="shared" si="3"/>
        <v>46219</v>
      </c>
      <c r="C63" s="20" t="s">
        <v>84</v>
      </c>
      <c r="D63" s="21"/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20260716-060</v>
      </c>
      <c r="B64" s="19">
        <f t="shared" si="3"/>
        <v>46219</v>
      </c>
      <c r="C64" s="20" t="s">
        <v>85</v>
      </c>
      <c r="D64" s="31"/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20260716-061</v>
      </c>
      <c r="B65" s="19">
        <f t="shared" si="3"/>
        <v>46219</v>
      </c>
      <c r="C65" s="20" t="s">
        <v>86</v>
      </c>
      <c r="D65" s="21"/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20260716-062</v>
      </c>
      <c r="B66" s="19">
        <f t="shared" si="3"/>
        <v>46219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20260716-063</v>
      </c>
      <c r="B67" s="19">
        <f t="shared" si="3"/>
        <v>46219</v>
      </c>
      <c r="C67" s="20" t="s">
        <v>88</v>
      </c>
      <c r="D67" s="21"/>
      <c r="E67" s="22"/>
      <c r="F67" s="23"/>
      <c r="G67" s="24"/>
      <c r="H67" s="25"/>
      <c r="I67" s="26"/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20260716-064</v>
      </c>
      <c r="B68" s="19">
        <f t="shared" si="3"/>
        <v>46219</v>
      </c>
      <c r="C68" s="20" t="s">
        <v>89</v>
      </c>
      <c r="D68" s="31"/>
      <c r="E68" s="22"/>
      <c r="F68" s="23"/>
      <c r="G68" s="24"/>
      <c r="H68" s="25"/>
      <c r="I68" s="26"/>
      <c r="J68" s="27"/>
      <c r="K68" s="28"/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20260716-065</v>
      </c>
      <c r="B69" s="19">
        <f t="shared" si="3"/>
        <v>46219</v>
      </c>
      <c r="C69" s="20" t="s">
        <v>90</v>
      </c>
      <c r="D69" s="21"/>
      <c r="E69" s="22"/>
      <c r="F69" s="23"/>
      <c r="G69" s="24"/>
      <c r="H69" s="25"/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20260716-066</v>
      </c>
      <c r="B70" s="19">
        <f t="shared" ref="B70:B80" si="5">$B$5</f>
        <v>46219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20260716-067</v>
      </c>
      <c r="B71" s="19">
        <f t="shared" si="5"/>
        <v>46219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20260716-068</v>
      </c>
      <c r="B72" s="19">
        <f t="shared" si="5"/>
        <v>46219</v>
      </c>
      <c r="C72" s="20" t="s">
        <v>93</v>
      </c>
      <c r="D72" s="31"/>
      <c r="E72" s="22">
        <v>1</v>
      </c>
      <c r="F72" s="23"/>
      <c r="G72" s="24"/>
      <c r="H72" s="25"/>
      <c r="I72" s="26"/>
      <c r="J72" s="27"/>
      <c r="K72" s="28">
        <v>1</v>
      </c>
      <c r="L72" s="15"/>
      <c r="M72" s="16"/>
      <c r="N72" s="15"/>
      <c r="O72" s="16"/>
      <c r="P72" s="17"/>
    </row>
    <row r="73" spans="1:16">
      <c r="A73" s="18" t="str">
        <f t="shared" si="4"/>
        <v>20260716-069</v>
      </c>
      <c r="B73" s="19">
        <f t="shared" si="5"/>
        <v>46219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20260716-070</v>
      </c>
      <c r="B74" s="19">
        <f t="shared" si="5"/>
        <v>46219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1</v>
      </c>
      <c r="M74" s="16"/>
      <c r="N74" s="15"/>
      <c r="O74" s="16"/>
    </row>
    <row r="75" spans="1:16">
      <c r="A75" s="18" t="str">
        <f t="shared" si="4"/>
        <v>20260716-071</v>
      </c>
      <c r="B75" s="19">
        <f t="shared" si="5"/>
        <v>46219</v>
      </c>
      <c r="C75" s="20" t="s">
        <v>96</v>
      </c>
      <c r="D75" s="21"/>
      <c r="E75" s="22"/>
      <c r="F75" s="23"/>
      <c r="G75" s="24">
        <v>2</v>
      </c>
      <c r="H75" s="25"/>
      <c r="I75" s="26"/>
      <c r="J75" s="27"/>
      <c r="K75" s="28">
        <v>2</v>
      </c>
      <c r="L75" s="15"/>
      <c r="M75" s="16"/>
      <c r="N75" s="15"/>
      <c r="O75" s="16"/>
      <c r="P75" s="30"/>
    </row>
    <row r="76" spans="1:16">
      <c r="A76" s="18" t="str">
        <f t="shared" si="4"/>
        <v>20260716-072</v>
      </c>
      <c r="B76" s="19">
        <f t="shared" si="5"/>
        <v>46219</v>
      </c>
      <c r="C76" s="20" t="s">
        <v>97</v>
      </c>
      <c r="D76" s="31"/>
      <c r="E76" s="22"/>
      <c r="F76" s="23"/>
      <c r="G76" s="24">
        <v>1</v>
      </c>
      <c r="H76" s="25"/>
      <c r="I76" s="26"/>
      <c r="J76" s="27"/>
      <c r="K76" s="28">
        <v>1</v>
      </c>
      <c r="L76" s="15"/>
      <c r="M76" s="16"/>
      <c r="N76" s="15"/>
      <c r="O76" s="16"/>
    </row>
    <row r="77" spans="1:16">
      <c r="A77" s="18" t="str">
        <f t="shared" si="4"/>
        <v>20260716-073</v>
      </c>
      <c r="B77" s="19">
        <f t="shared" si="5"/>
        <v>46219</v>
      </c>
      <c r="C77" s="20" t="s">
        <v>98</v>
      </c>
      <c r="D77" s="21"/>
      <c r="E77" s="22"/>
      <c r="F77" s="23"/>
      <c r="G77" s="24">
        <v>1</v>
      </c>
      <c r="H77" s="25"/>
      <c r="I77" s="26"/>
      <c r="J77" s="27"/>
      <c r="K77" s="28"/>
      <c r="L77" s="34">
        <v>1</v>
      </c>
      <c r="M77" s="16"/>
      <c r="N77" s="15"/>
      <c r="O77" s="16"/>
      <c r="P77" s="30"/>
    </row>
    <row r="78" spans="1:16">
      <c r="A78" s="18" t="str">
        <f t="shared" si="4"/>
        <v>20260716-074</v>
      </c>
      <c r="B78" s="19">
        <f t="shared" si="5"/>
        <v>46219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20260716-075</v>
      </c>
      <c r="B79" s="19">
        <f t="shared" si="5"/>
        <v>46219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20260716-076</v>
      </c>
      <c r="B80" s="19">
        <f t="shared" si="5"/>
        <v>46219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0"/>
  <sheetViews>
    <sheetView topLeftCell="A54" zoomScale="85" zoomScaleNormal="85" workbookViewId="0">
      <selection activeCell="C14" sqref="C1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20260717-001</v>
      </c>
      <c r="B5" s="5">
        <v>46220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20260717-002</v>
      </c>
      <c r="B6" s="19">
        <f t="shared" ref="B6:B37" si="1">$B$5</f>
        <v>46220</v>
      </c>
      <c r="C6" s="20" t="s">
        <v>28</v>
      </c>
      <c r="D6" s="21">
        <v>25</v>
      </c>
      <c r="E6" s="22">
        <v>3</v>
      </c>
      <c r="F6" s="23"/>
      <c r="G6" s="24">
        <v>5</v>
      </c>
      <c r="H6" s="25"/>
      <c r="I6" s="26"/>
      <c r="J6" s="27"/>
      <c r="K6" s="28">
        <v>5</v>
      </c>
      <c r="L6" s="15"/>
      <c r="M6" s="29"/>
      <c r="N6" s="15"/>
      <c r="O6" s="29"/>
      <c r="P6" s="30"/>
    </row>
    <row r="7" spans="1:16">
      <c r="A7" s="18" t="str">
        <f t="shared" si="0"/>
        <v>20260717-003</v>
      </c>
      <c r="B7" s="19">
        <f t="shared" si="1"/>
        <v>46220</v>
      </c>
      <c r="C7" s="20" t="s">
        <v>29</v>
      </c>
      <c r="D7" s="31"/>
      <c r="E7" s="22"/>
      <c r="F7" s="23"/>
      <c r="G7" s="24"/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20260717-004</v>
      </c>
      <c r="B8" s="19">
        <f t="shared" si="1"/>
        <v>46220</v>
      </c>
      <c r="C8" s="20" t="s">
        <v>30</v>
      </c>
      <c r="D8" s="21"/>
      <c r="E8" s="22"/>
      <c r="F8" s="23"/>
      <c r="G8" s="24"/>
      <c r="H8" s="25"/>
      <c r="I8" s="26"/>
      <c r="J8" s="27"/>
      <c r="K8" s="28"/>
      <c r="L8" s="15"/>
      <c r="M8" s="16"/>
      <c r="N8" s="15"/>
      <c r="O8" s="16"/>
      <c r="P8" s="30"/>
    </row>
    <row r="9" spans="1:16">
      <c r="A9" s="18" t="str">
        <f t="shared" si="0"/>
        <v>20260717-005</v>
      </c>
      <c r="B9" s="19">
        <f t="shared" si="1"/>
        <v>46220</v>
      </c>
      <c r="C9" s="20" t="s">
        <v>31</v>
      </c>
      <c r="D9" s="31"/>
      <c r="E9" s="22"/>
      <c r="F9" s="23"/>
      <c r="G9" s="24">
        <v>1</v>
      </c>
      <c r="H9" s="25"/>
      <c r="I9" s="26"/>
      <c r="J9" s="27"/>
      <c r="K9" s="28"/>
      <c r="L9" s="15"/>
      <c r="M9" s="29"/>
      <c r="N9" s="15"/>
      <c r="O9" s="29"/>
      <c r="P9" s="17"/>
    </row>
    <row r="10" spans="1:16">
      <c r="A10" s="18" t="str">
        <f t="shared" si="0"/>
        <v>20260717-006</v>
      </c>
      <c r="B10" s="19">
        <f t="shared" si="1"/>
        <v>46220</v>
      </c>
      <c r="C10" s="20" t="s">
        <v>32</v>
      </c>
      <c r="D10" s="21"/>
      <c r="E10" s="22"/>
      <c r="F10" s="23"/>
      <c r="G10" s="24"/>
      <c r="H10" s="25"/>
      <c r="I10" s="26">
        <v>2</v>
      </c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20260717-007</v>
      </c>
      <c r="B11" s="19">
        <f t="shared" si="1"/>
        <v>46220</v>
      </c>
      <c r="C11" s="20" t="s">
        <v>33</v>
      </c>
      <c r="D11" s="31"/>
      <c r="E11" s="22"/>
      <c r="F11" s="23"/>
      <c r="G11" s="24"/>
      <c r="H11" s="25">
        <v>20</v>
      </c>
      <c r="I11" s="26">
        <v>15</v>
      </c>
      <c r="J11" s="27">
        <v>10</v>
      </c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20260717-008</v>
      </c>
      <c r="B12" s="19">
        <f t="shared" si="1"/>
        <v>46220</v>
      </c>
      <c r="C12" s="33" t="s">
        <v>34</v>
      </c>
      <c r="D12" s="21">
        <v>5</v>
      </c>
      <c r="E12" s="22">
        <v>7</v>
      </c>
      <c r="F12" s="23"/>
      <c r="G12" s="24">
        <v>7</v>
      </c>
      <c r="H12" s="25"/>
      <c r="I12" s="26"/>
      <c r="J12" s="27"/>
      <c r="K12" s="28">
        <v>15</v>
      </c>
      <c r="L12" s="15"/>
      <c r="M12" s="16"/>
      <c r="N12" s="15"/>
      <c r="O12" s="16"/>
      <c r="P12" s="30"/>
    </row>
    <row r="13" spans="1:16">
      <c r="A13" s="18" t="str">
        <f t="shared" si="0"/>
        <v>20260717-009</v>
      </c>
      <c r="B13" s="19">
        <f t="shared" si="1"/>
        <v>46220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20260717-010</v>
      </c>
      <c r="B14" s="19">
        <f t="shared" si="1"/>
        <v>46220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20260717-011</v>
      </c>
      <c r="B15" s="19">
        <f t="shared" si="1"/>
        <v>46220</v>
      </c>
      <c r="C15" s="33" t="s">
        <v>36</v>
      </c>
      <c r="D15" s="31"/>
      <c r="E15" s="22"/>
      <c r="F15" s="23"/>
      <c r="G15" s="24"/>
      <c r="H15" s="25">
        <v>4</v>
      </c>
      <c r="I15" s="26">
        <v>6</v>
      </c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20260717-012</v>
      </c>
      <c r="B16" s="19">
        <f t="shared" si="1"/>
        <v>46220</v>
      </c>
      <c r="C16" s="20" t="s">
        <v>37</v>
      </c>
      <c r="D16" s="21"/>
      <c r="E16" s="22"/>
      <c r="F16" s="23"/>
      <c r="G16" s="24"/>
      <c r="H16" s="25"/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20260717-013</v>
      </c>
      <c r="B17" s="19">
        <f t="shared" si="1"/>
        <v>46220</v>
      </c>
      <c r="C17" s="20" t="s">
        <v>38</v>
      </c>
      <c r="D17" s="31"/>
      <c r="E17" s="22">
        <v>1</v>
      </c>
      <c r="F17" s="23"/>
      <c r="G17" s="24">
        <v>1</v>
      </c>
      <c r="H17" s="25"/>
      <c r="I17" s="26"/>
      <c r="J17" s="27">
        <v>2</v>
      </c>
      <c r="K17" s="28">
        <v>1</v>
      </c>
      <c r="L17" s="15"/>
      <c r="M17" s="16"/>
      <c r="N17" s="15"/>
      <c r="O17" s="16"/>
      <c r="P17" s="17"/>
    </row>
    <row r="18" spans="1:16">
      <c r="A18" s="18" t="str">
        <f t="shared" si="0"/>
        <v>20260717-014</v>
      </c>
      <c r="B18" s="19">
        <f t="shared" si="1"/>
        <v>46220</v>
      </c>
      <c r="C18" s="20" t="s">
        <v>39</v>
      </c>
      <c r="D18" s="21"/>
      <c r="E18" s="22"/>
      <c r="F18" s="23"/>
      <c r="G18" s="24"/>
      <c r="H18" s="25">
        <v>1</v>
      </c>
      <c r="I18" s="26"/>
      <c r="J18" s="27">
        <v>1</v>
      </c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20260717-015</v>
      </c>
      <c r="B19" s="19">
        <f t="shared" si="1"/>
        <v>46220</v>
      </c>
      <c r="C19" s="20" t="s">
        <v>40</v>
      </c>
      <c r="D19" s="31"/>
      <c r="E19" s="22">
        <v>1</v>
      </c>
      <c r="F19" s="23"/>
      <c r="G19" s="24"/>
      <c r="H19" s="25"/>
      <c r="I19" s="26"/>
      <c r="J19" s="27"/>
      <c r="K19" s="28"/>
      <c r="L19" s="15"/>
      <c r="M19" s="16"/>
      <c r="N19" s="15"/>
      <c r="O19" s="16"/>
      <c r="P19" s="17"/>
    </row>
    <row r="20" spans="1:16">
      <c r="A20" s="18" t="str">
        <f t="shared" si="0"/>
        <v>20260717-016</v>
      </c>
      <c r="B20" s="19">
        <f t="shared" si="1"/>
        <v>46220</v>
      </c>
      <c r="C20" s="20" t="s">
        <v>41</v>
      </c>
      <c r="D20" s="21"/>
      <c r="E20" s="22"/>
      <c r="F20" s="23"/>
      <c r="G20" s="24">
        <v>1</v>
      </c>
      <c r="H20" s="25"/>
      <c r="I20" s="26"/>
      <c r="J20" s="27"/>
      <c r="K20" s="28">
        <v>1</v>
      </c>
      <c r="L20" s="15"/>
      <c r="M20" s="16"/>
      <c r="N20" s="15"/>
      <c r="O20" s="16"/>
      <c r="P20" s="30"/>
    </row>
    <row r="21" spans="1:16">
      <c r="A21" s="18" t="str">
        <f t="shared" si="0"/>
        <v>20260717-017</v>
      </c>
      <c r="B21" s="19">
        <f t="shared" si="1"/>
        <v>46220</v>
      </c>
      <c r="C21" s="20" t="s">
        <v>42</v>
      </c>
      <c r="D21" s="31"/>
      <c r="E21" s="22">
        <v>2</v>
      </c>
      <c r="F21" s="23"/>
      <c r="G21" s="24">
        <v>1</v>
      </c>
      <c r="H21" s="25"/>
      <c r="I21" s="26"/>
      <c r="J21" s="27"/>
      <c r="K21" s="28">
        <v>2</v>
      </c>
      <c r="L21" s="15"/>
      <c r="M21" s="16"/>
      <c r="N21" s="15"/>
      <c r="O21" s="16"/>
      <c r="P21" s="17"/>
    </row>
    <row r="22" spans="1:16">
      <c r="A22" s="18" t="str">
        <f t="shared" si="0"/>
        <v>20260717-018</v>
      </c>
      <c r="B22" s="19">
        <f t="shared" si="1"/>
        <v>46220</v>
      </c>
      <c r="C22" s="20" t="s">
        <v>43</v>
      </c>
      <c r="D22" s="21"/>
      <c r="E22" s="22">
        <v>3</v>
      </c>
      <c r="F22" s="23"/>
      <c r="G22" s="24"/>
      <c r="H22" s="25">
        <v>3</v>
      </c>
      <c r="I22" s="26">
        <v>7</v>
      </c>
      <c r="J22" s="27"/>
      <c r="K22" s="28">
        <v>2</v>
      </c>
      <c r="L22" s="15"/>
      <c r="M22" s="16"/>
      <c r="N22" s="15"/>
      <c r="O22" s="16"/>
      <c r="P22" s="30"/>
    </row>
    <row r="23" spans="1:16">
      <c r="A23" s="18" t="str">
        <f t="shared" si="0"/>
        <v>20260717-019</v>
      </c>
      <c r="B23" s="19">
        <f t="shared" si="1"/>
        <v>46220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20260717-020</v>
      </c>
      <c r="B24" s="19">
        <f t="shared" si="1"/>
        <v>46220</v>
      </c>
      <c r="C24" s="20" t="s">
        <v>45</v>
      </c>
      <c r="D24" s="21">
        <v>5</v>
      </c>
      <c r="E24" s="22"/>
      <c r="F24" s="23"/>
      <c r="G24" s="24"/>
      <c r="H24" s="25">
        <v>6</v>
      </c>
      <c r="I24" s="26"/>
      <c r="J24" s="27">
        <v>1</v>
      </c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20260717-021</v>
      </c>
      <c r="B25" s="19">
        <f t="shared" si="1"/>
        <v>46220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20260717-022</v>
      </c>
      <c r="B26" s="19">
        <f t="shared" si="1"/>
        <v>46220</v>
      </c>
      <c r="C26" s="20" t="s">
        <v>47</v>
      </c>
      <c r="D26" s="21"/>
      <c r="E26" s="22"/>
      <c r="F26" s="23"/>
      <c r="G26" s="24"/>
      <c r="H26" s="25"/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20260717-023</v>
      </c>
      <c r="B27" s="19">
        <f t="shared" si="1"/>
        <v>46220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20260717-024</v>
      </c>
      <c r="B28" s="19">
        <f t="shared" si="1"/>
        <v>46220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20260717-025</v>
      </c>
      <c r="B29" s="19">
        <f t="shared" si="1"/>
        <v>46220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20260717-026</v>
      </c>
      <c r="B30" s="19">
        <f t="shared" si="1"/>
        <v>46220</v>
      </c>
      <c r="C30" s="20" t="s">
        <v>51</v>
      </c>
      <c r="D30" s="21"/>
      <c r="E30" s="22"/>
      <c r="F30" s="23"/>
      <c r="G30" s="24">
        <v>2</v>
      </c>
      <c r="H30" s="25"/>
      <c r="I30" s="26"/>
      <c r="J30" s="27"/>
      <c r="K30" s="28"/>
      <c r="L30" s="15"/>
      <c r="M30" s="16"/>
      <c r="N30" s="15"/>
      <c r="O30" s="16"/>
      <c r="P30" s="30"/>
    </row>
    <row r="31" spans="1:16">
      <c r="A31" s="18" t="str">
        <f t="shared" si="0"/>
        <v>20260717-027</v>
      </c>
      <c r="B31" s="19">
        <f t="shared" si="1"/>
        <v>46220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20260717-028</v>
      </c>
      <c r="B32" s="19">
        <f t="shared" si="1"/>
        <v>46220</v>
      </c>
      <c r="C32" s="20" t="s">
        <v>53</v>
      </c>
      <c r="D32" s="21"/>
      <c r="E32" s="22">
        <v>6</v>
      </c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20260717-029</v>
      </c>
      <c r="B33" s="19">
        <f t="shared" si="1"/>
        <v>46220</v>
      </c>
      <c r="C33" s="20" t="s">
        <v>54</v>
      </c>
      <c r="D33" s="31"/>
      <c r="E33" s="22"/>
      <c r="F33" s="23"/>
      <c r="G33" s="24">
        <v>3</v>
      </c>
      <c r="H33" s="25"/>
      <c r="I33" s="26"/>
      <c r="J33" s="27"/>
      <c r="K33" s="28">
        <v>2</v>
      </c>
      <c r="L33" s="15"/>
      <c r="M33" s="16"/>
      <c r="N33" s="15"/>
      <c r="O33" s="16"/>
      <c r="P33" s="17"/>
    </row>
    <row r="34" spans="1:16">
      <c r="A34" s="18" t="str">
        <f t="shared" si="0"/>
        <v>20260717-030</v>
      </c>
      <c r="B34" s="19">
        <f t="shared" si="1"/>
        <v>46220</v>
      </c>
      <c r="C34" s="20" t="s">
        <v>55</v>
      </c>
      <c r="D34" s="21"/>
      <c r="E34" s="22"/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20260717-031</v>
      </c>
      <c r="B35" s="19">
        <f t="shared" si="1"/>
        <v>46220</v>
      </c>
      <c r="C35" s="20" t="s">
        <v>56</v>
      </c>
      <c r="D35" s="31"/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20260717-032</v>
      </c>
      <c r="B36" s="19">
        <f t="shared" si="1"/>
        <v>46220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20260717-033</v>
      </c>
      <c r="B37" s="19">
        <f t="shared" si="1"/>
        <v>46220</v>
      </c>
      <c r="C37" s="20" t="s">
        <v>58</v>
      </c>
      <c r="D37" s="31"/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20260717-034</v>
      </c>
      <c r="B38" s="19">
        <f t="shared" ref="B38:B69" si="3">$B$5</f>
        <v>46220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20260717-035</v>
      </c>
      <c r="B39" s="19">
        <f t="shared" si="3"/>
        <v>46220</v>
      </c>
      <c r="C39" s="20" t="s">
        <v>60</v>
      </c>
      <c r="D39" s="31"/>
      <c r="E39" s="22"/>
      <c r="F39" s="23"/>
      <c r="G39" s="24"/>
      <c r="H39" s="25"/>
      <c r="I39" s="26"/>
      <c r="J39" s="27"/>
      <c r="K39" s="28"/>
      <c r="L39" s="15"/>
      <c r="M39" s="16"/>
      <c r="N39" s="15"/>
      <c r="O39" s="16"/>
      <c r="P39" s="17"/>
    </row>
    <row r="40" spans="1:16">
      <c r="A40" s="18" t="str">
        <f t="shared" si="2"/>
        <v>20260717-036</v>
      </c>
      <c r="B40" s="19">
        <f t="shared" si="3"/>
        <v>46220</v>
      </c>
      <c r="C40" s="20" t="s">
        <v>61</v>
      </c>
      <c r="D40" s="21"/>
      <c r="E40" s="22"/>
      <c r="F40" s="23"/>
      <c r="G40" s="24"/>
      <c r="H40" s="25"/>
      <c r="I40" s="26"/>
      <c r="J40" s="27"/>
      <c r="K40" s="28"/>
      <c r="L40" s="15"/>
      <c r="M40" s="16"/>
      <c r="N40" s="15"/>
      <c r="O40" s="16"/>
      <c r="P40" s="30"/>
    </row>
    <row r="41" spans="1:16">
      <c r="A41" s="18" t="str">
        <f t="shared" si="2"/>
        <v>20260717-037</v>
      </c>
      <c r="B41" s="19">
        <f t="shared" si="3"/>
        <v>46220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20260717-038</v>
      </c>
      <c r="B42" s="19">
        <f t="shared" si="3"/>
        <v>46220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20260717-039</v>
      </c>
      <c r="B43" s="19">
        <f t="shared" si="3"/>
        <v>46220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20260717-040</v>
      </c>
      <c r="B44" s="19">
        <f t="shared" si="3"/>
        <v>46220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20260717-041</v>
      </c>
      <c r="B45" s="19">
        <f t="shared" si="3"/>
        <v>46220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20260717-042</v>
      </c>
      <c r="B46" s="19">
        <f t="shared" si="3"/>
        <v>46220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20260717-043</v>
      </c>
      <c r="B47" s="19">
        <f t="shared" si="3"/>
        <v>46220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20260717-044</v>
      </c>
      <c r="B48" s="19">
        <f t="shared" si="3"/>
        <v>46220</v>
      </c>
      <c r="C48" s="20" t="s">
        <v>69</v>
      </c>
      <c r="D48" s="21"/>
      <c r="E48" s="22"/>
      <c r="F48" s="23"/>
      <c r="G48" s="24">
        <v>1</v>
      </c>
      <c r="H48" s="25"/>
      <c r="I48" s="26"/>
      <c r="J48" s="27"/>
      <c r="K48" s="28">
        <v>1</v>
      </c>
      <c r="L48" s="15"/>
      <c r="M48" s="16"/>
      <c r="N48" s="15"/>
      <c r="O48" s="16"/>
      <c r="P48" s="30"/>
    </row>
    <row r="49" spans="1:16">
      <c r="A49" s="18" t="str">
        <f t="shared" si="2"/>
        <v>20260717-045</v>
      </c>
      <c r="B49" s="19">
        <f t="shared" si="3"/>
        <v>46220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20260717-046</v>
      </c>
      <c r="B50" s="19">
        <f t="shared" si="3"/>
        <v>46220</v>
      </c>
      <c r="C50" s="20" t="s">
        <v>71</v>
      </c>
      <c r="D50" s="21"/>
      <c r="E50" s="22">
        <v>1</v>
      </c>
      <c r="F50" s="23"/>
      <c r="G50" s="24"/>
      <c r="H50" s="25"/>
      <c r="I50" s="26"/>
      <c r="J50" s="27"/>
      <c r="K50" s="28">
        <v>1</v>
      </c>
      <c r="L50" s="15"/>
      <c r="M50" s="16"/>
      <c r="N50" s="15"/>
      <c r="O50" s="16"/>
      <c r="P50" s="30"/>
    </row>
    <row r="51" spans="1:16">
      <c r="A51" s="18" t="str">
        <f t="shared" si="2"/>
        <v>20260717-047</v>
      </c>
      <c r="B51" s="19">
        <f t="shared" si="3"/>
        <v>46220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20260717-048</v>
      </c>
      <c r="B52" s="19">
        <f t="shared" si="3"/>
        <v>46220</v>
      </c>
      <c r="C52" s="20" t="s">
        <v>73</v>
      </c>
      <c r="D52" s="21"/>
      <c r="E52" s="22">
        <v>2</v>
      </c>
      <c r="F52" s="23"/>
      <c r="G52" s="24"/>
      <c r="H52" s="25"/>
      <c r="I52" s="26"/>
      <c r="J52" s="27"/>
      <c r="K52" s="28">
        <v>2</v>
      </c>
      <c r="L52" s="15"/>
      <c r="M52" s="16"/>
      <c r="N52" s="15"/>
      <c r="O52" s="16"/>
      <c r="P52" s="30"/>
    </row>
    <row r="53" spans="1:16">
      <c r="A53" s="18" t="str">
        <f t="shared" si="2"/>
        <v>20260717-049</v>
      </c>
      <c r="B53" s="19">
        <f t="shared" si="3"/>
        <v>46220</v>
      </c>
      <c r="C53" s="20" t="s">
        <v>74</v>
      </c>
      <c r="D53" s="31"/>
      <c r="E53" s="22"/>
      <c r="F53" s="23"/>
      <c r="G53" s="24"/>
      <c r="H53" s="25"/>
      <c r="I53" s="26"/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20260717-050</v>
      </c>
      <c r="B54" s="19">
        <f t="shared" si="3"/>
        <v>46220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20260717-051</v>
      </c>
      <c r="B55" s="19">
        <f t="shared" si="3"/>
        <v>46220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20260717-052</v>
      </c>
      <c r="B56" s="19">
        <f t="shared" si="3"/>
        <v>46220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20260717-053</v>
      </c>
      <c r="B57" s="19">
        <f t="shared" si="3"/>
        <v>46220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20260717-054</v>
      </c>
      <c r="B58" s="19">
        <f t="shared" si="3"/>
        <v>46220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20260717-055</v>
      </c>
      <c r="B59" s="19">
        <f t="shared" si="3"/>
        <v>46220</v>
      </c>
      <c r="C59" s="20" t="s">
        <v>80</v>
      </c>
      <c r="D59" s="31"/>
      <c r="E59" s="22">
        <v>1</v>
      </c>
      <c r="F59" s="23"/>
      <c r="G59" s="24"/>
      <c r="H59" s="25"/>
      <c r="I59" s="26"/>
      <c r="J59" s="27"/>
      <c r="K59" s="28">
        <v>1</v>
      </c>
      <c r="L59" s="15"/>
      <c r="M59" s="16"/>
      <c r="N59" s="15"/>
      <c r="O59" s="16"/>
      <c r="P59" s="17"/>
    </row>
    <row r="60" spans="1:16">
      <c r="A60" s="18" t="str">
        <f t="shared" si="2"/>
        <v>20260717-056</v>
      </c>
      <c r="B60" s="19">
        <f t="shared" si="3"/>
        <v>46220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20260717-057</v>
      </c>
      <c r="B61" s="19">
        <f t="shared" si="3"/>
        <v>46220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20260717-058</v>
      </c>
      <c r="B62" s="19">
        <f t="shared" si="3"/>
        <v>46220</v>
      </c>
      <c r="C62" s="20" t="s">
        <v>83</v>
      </c>
      <c r="D62" s="31"/>
      <c r="E62" s="22"/>
      <c r="F62" s="23"/>
      <c r="G62" s="24"/>
      <c r="H62" s="25">
        <v>5</v>
      </c>
      <c r="I62" s="26">
        <v>5</v>
      </c>
      <c r="J62" s="27"/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20260717-059</v>
      </c>
      <c r="B63" s="19">
        <f t="shared" si="3"/>
        <v>46220</v>
      </c>
      <c r="C63" s="20" t="s">
        <v>84</v>
      </c>
      <c r="D63" s="21">
        <v>20</v>
      </c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20260717-060</v>
      </c>
      <c r="B64" s="19">
        <f t="shared" si="3"/>
        <v>46220</v>
      </c>
      <c r="C64" s="20" t="s">
        <v>85</v>
      </c>
      <c r="D64" s="31">
        <v>15</v>
      </c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20260717-061</v>
      </c>
      <c r="B65" s="19">
        <f t="shared" si="3"/>
        <v>46220</v>
      </c>
      <c r="C65" s="20" t="s">
        <v>86</v>
      </c>
      <c r="D65" s="21">
        <v>55</v>
      </c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20260717-062</v>
      </c>
      <c r="B66" s="19">
        <f t="shared" si="3"/>
        <v>46220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20260717-063</v>
      </c>
      <c r="B67" s="19">
        <f t="shared" si="3"/>
        <v>46220</v>
      </c>
      <c r="C67" s="20" t="s">
        <v>88</v>
      </c>
      <c r="D67" s="21"/>
      <c r="E67" s="22"/>
      <c r="F67" s="23"/>
      <c r="G67" s="24"/>
      <c r="H67" s="25">
        <v>7</v>
      </c>
      <c r="I67" s="26">
        <v>7</v>
      </c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20260717-064</v>
      </c>
      <c r="B68" s="19">
        <f t="shared" si="3"/>
        <v>46220</v>
      </c>
      <c r="C68" s="20" t="s">
        <v>89</v>
      </c>
      <c r="D68" s="31"/>
      <c r="E68" s="22">
        <v>3</v>
      </c>
      <c r="F68" s="23"/>
      <c r="G68" s="24"/>
      <c r="H68" s="25"/>
      <c r="I68" s="26"/>
      <c r="J68" s="27"/>
      <c r="K68" s="28">
        <v>2</v>
      </c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20260717-065</v>
      </c>
      <c r="B69" s="19">
        <f t="shared" si="3"/>
        <v>46220</v>
      </c>
      <c r="C69" s="20" t="s">
        <v>90</v>
      </c>
      <c r="D69" s="21"/>
      <c r="E69" s="22"/>
      <c r="F69" s="23"/>
      <c r="G69" s="24"/>
      <c r="H69" s="25">
        <v>2</v>
      </c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20260717-066</v>
      </c>
      <c r="B70" s="19">
        <f t="shared" ref="B70:B80" si="5">$B$5</f>
        <v>46220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20260717-067</v>
      </c>
      <c r="B71" s="19">
        <f t="shared" si="5"/>
        <v>46220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20260717-068</v>
      </c>
      <c r="B72" s="19">
        <f t="shared" si="5"/>
        <v>46220</v>
      </c>
      <c r="C72" s="20" t="s">
        <v>93</v>
      </c>
      <c r="D72" s="31"/>
      <c r="E72" s="22">
        <v>1</v>
      </c>
      <c r="F72" s="23"/>
      <c r="G72" s="24"/>
      <c r="H72" s="25"/>
      <c r="I72" s="26"/>
      <c r="J72" s="27"/>
      <c r="K72" s="28"/>
      <c r="L72" s="15"/>
      <c r="M72" s="16"/>
      <c r="N72" s="15"/>
      <c r="O72" s="16"/>
      <c r="P72" s="17"/>
    </row>
    <row r="73" spans="1:16">
      <c r="A73" s="18" t="str">
        <f t="shared" si="4"/>
        <v>20260717-069</v>
      </c>
      <c r="B73" s="19">
        <f t="shared" si="5"/>
        <v>46220</v>
      </c>
      <c r="C73" s="20" t="s">
        <v>94</v>
      </c>
      <c r="D73" s="21"/>
      <c r="E73" s="22">
        <v>1</v>
      </c>
      <c r="F73" s="23"/>
      <c r="G73" s="24"/>
      <c r="H73" s="25"/>
      <c r="I73" s="26"/>
      <c r="J73" s="27"/>
      <c r="K73" s="28">
        <v>1</v>
      </c>
      <c r="L73" s="15"/>
      <c r="M73" s="16"/>
      <c r="N73" s="15"/>
      <c r="O73" s="16"/>
      <c r="P73" s="30"/>
    </row>
    <row r="74" spans="1:16">
      <c r="A74" s="18" t="str">
        <f t="shared" si="4"/>
        <v>20260717-070</v>
      </c>
      <c r="B74" s="19">
        <f t="shared" si="5"/>
        <v>46220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1</v>
      </c>
      <c r="M74" s="16"/>
      <c r="N74" s="15"/>
      <c r="O74" s="16"/>
    </row>
    <row r="75" spans="1:16">
      <c r="A75" s="18" t="str">
        <f t="shared" si="4"/>
        <v>20260717-071</v>
      </c>
      <c r="B75" s="19">
        <f t="shared" si="5"/>
        <v>46220</v>
      </c>
      <c r="C75" s="20" t="s">
        <v>96</v>
      </c>
      <c r="D75" s="21"/>
      <c r="E75" s="22"/>
      <c r="F75" s="23"/>
      <c r="G75" s="24">
        <v>2</v>
      </c>
      <c r="H75" s="25"/>
      <c r="I75" s="26"/>
      <c r="J75" s="27"/>
      <c r="K75" s="28">
        <v>2</v>
      </c>
      <c r="L75" s="15"/>
      <c r="M75" s="16"/>
      <c r="N75" s="15"/>
      <c r="O75" s="16"/>
      <c r="P75" s="30"/>
    </row>
    <row r="76" spans="1:16">
      <c r="A76" s="18" t="str">
        <f t="shared" si="4"/>
        <v>20260717-072</v>
      </c>
      <c r="B76" s="19">
        <f t="shared" si="5"/>
        <v>46220</v>
      </c>
      <c r="C76" s="20" t="s">
        <v>97</v>
      </c>
      <c r="D76" s="31"/>
      <c r="E76" s="22"/>
      <c r="F76" s="23"/>
      <c r="G76" s="24">
        <v>1</v>
      </c>
      <c r="H76" s="25"/>
      <c r="I76" s="26"/>
      <c r="J76" s="27"/>
      <c r="K76" s="28">
        <v>1</v>
      </c>
      <c r="L76" s="15"/>
      <c r="M76" s="16"/>
      <c r="N76" s="15"/>
      <c r="O76" s="16"/>
    </row>
    <row r="77" spans="1:16">
      <c r="A77" s="18" t="str">
        <f t="shared" si="4"/>
        <v>20260717-073</v>
      </c>
      <c r="B77" s="19">
        <f t="shared" si="5"/>
        <v>46220</v>
      </c>
      <c r="C77" s="20" t="s">
        <v>98</v>
      </c>
      <c r="D77" s="21"/>
      <c r="E77" s="22"/>
      <c r="F77" s="23"/>
      <c r="G77" s="24">
        <v>1</v>
      </c>
      <c r="H77" s="25"/>
      <c r="I77" s="26"/>
      <c r="J77" s="27"/>
      <c r="K77" s="28"/>
      <c r="L77" s="34">
        <v>1</v>
      </c>
      <c r="M77" s="16"/>
      <c r="N77" s="15"/>
      <c r="O77" s="16"/>
      <c r="P77" s="30"/>
    </row>
    <row r="78" spans="1:16">
      <c r="A78" s="18" t="str">
        <f t="shared" si="4"/>
        <v>20260717-074</v>
      </c>
      <c r="B78" s="19">
        <f t="shared" si="5"/>
        <v>46220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20260717-075</v>
      </c>
      <c r="B79" s="19">
        <f t="shared" si="5"/>
        <v>46220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20260717-076</v>
      </c>
      <c r="B80" s="19">
        <f t="shared" si="5"/>
        <v>46220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80"/>
  <sheetViews>
    <sheetView topLeftCell="C1" workbookViewId="0">
      <selection activeCell="C14" sqref="C1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20260718-001</v>
      </c>
      <c r="B5" s="5">
        <v>46221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20260718-002</v>
      </c>
      <c r="B6" s="19">
        <f t="shared" ref="B6:B37" si="1">$B$5</f>
        <v>46221</v>
      </c>
      <c r="C6" s="20" t="s">
        <v>28</v>
      </c>
      <c r="D6" s="21"/>
      <c r="E6" s="22">
        <v>7</v>
      </c>
      <c r="F6" s="23"/>
      <c r="G6" s="24">
        <v>7</v>
      </c>
      <c r="H6" s="25"/>
      <c r="I6" s="26"/>
      <c r="J6" s="27"/>
      <c r="K6" s="28">
        <v>14</v>
      </c>
      <c r="L6" s="15"/>
      <c r="M6" s="29"/>
      <c r="N6" s="15"/>
      <c r="O6" s="29"/>
      <c r="P6" s="30"/>
    </row>
    <row r="7" spans="1:16">
      <c r="A7" s="18" t="str">
        <f t="shared" si="0"/>
        <v>20260718-003</v>
      </c>
      <c r="B7" s="19">
        <f t="shared" si="1"/>
        <v>46221</v>
      </c>
      <c r="C7" s="20" t="s">
        <v>29</v>
      </c>
      <c r="D7" s="31"/>
      <c r="E7" s="22"/>
      <c r="F7" s="23"/>
      <c r="G7" s="24"/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20260718-004</v>
      </c>
      <c r="B8" s="19">
        <f t="shared" si="1"/>
        <v>46221</v>
      </c>
      <c r="C8" s="20" t="s">
        <v>30</v>
      </c>
      <c r="D8" s="21"/>
      <c r="E8" s="22">
        <v>3</v>
      </c>
      <c r="F8" s="23"/>
      <c r="G8" s="24">
        <v>1</v>
      </c>
      <c r="H8" s="25"/>
      <c r="I8" s="26"/>
      <c r="J8" s="27"/>
      <c r="K8" s="28">
        <v>2</v>
      </c>
      <c r="L8" s="15"/>
      <c r="M8" s="16"/>
      <c r="N8" s="15"/>
      <c r="O8" s="16"/>
      <c r="P8" s="30"/>
    </row>
    <row r="9" spans="1:16">
      <c r="A9" s="18" t="str">
        <f t="shared" si="0"/>
        <v>20260718-005</v>
      </c>
      <c r="B9" s="19">
        <f t="shared" si="1"/>
        <v>46221</v>
      </c>
      <c r="C9" s="20" t="s">
        <v>31</v>
      </c>
      <c r="D9" s="31"/>
      <c r="E9" s="22"/>
      <c r="F9" s="23"/>
      <c r="G9" s="24">
        <v>1</v>
      </c>
      <c r="H9" s="25"/>
      <c r="I9" s="26"/>
      <c r="J9" s="27"/>
      <c r="K9" s="28">
        <v>1</v>
      </c>
      <c r="L9" s="15"/>
      <c r="M9" s="29"/>
      <c r="N9" s="15"/>
      <c r="O9" s="29"/>
      <c r="P9" s="17"/>
    </row>
    <row r="10" spans="1:16">
      <c r="A10" s="18" t="str">
        <f t="shared" si="0"/>
        <v>20260718-006</v>
      </c>
      <c r="B10" s="19">
        <f t="shared" si="1"/>
        <v>46221</v>
      </c>
      <c r="C10" s="20" t="s">
        <v>32</v>
      </c>
      <c r="D10" s="21"/>
      <c r="E10" s="22"/>
      <c r="F10" s="23"/>
      <c r="G10" s="24"/>
      <c r="H10" s="25"/>
      <c r="I10" s="26"/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20260718-007</v>
      </c>
      <c r="B11" s="19">
        <f t="shared" si="1"/>
        <v>46221</v>
      </c>
      <c r="C11" s="20" t="s">
        <v>33</v>
      </c>
      <c r="D11" s="31"/>
      <c r="E11" s="22"/>
      <c r="F11" s="23"/>
      <c r="G11" s="24"/>
      <c r="H11" s="25">
        <v>45</v>
      </c>
      <c r="I11" s="26">
        <v>40</v>
      </c>
      <c r="J11" s="27">
        <v>5</v>
      </c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20260718-008</v>
      </c>
      <c r="B12" s="19">
        <f t="shared" si="1"/>
        <v>46221</v>
      </c>
      <c r="C12" s="33" t="s">
        <v>34</v>
      </c>
      <c r="D12" s="21">
        <v>5</v>
      </c>
      <c r="E12" s="22">
        <v>4</v>
      </c>
      <c r="F12" s="23"/>
      <c r="G12" s="24">
        <v>12</v>
      </c>
      <c r="H12" s="25"/>
      <c r="I12" s="26"/>
      <c r="J12" s="27"/>
      <c r="K12" s="28">
        <v>14</v>
      </c>
      <c r="L12" s="15"/>
      <c r="M12" s="16"/>
      <c r="N12" s="15"/>
      <c r="O12" s="16"/>
      <c r="P12" s="30"/>
    </row>
    <row r="13" spans="1:16">
      <c r="A13" s="18" t="str">
        <f t="shared" si="0"/>
        <v>20260718-009</v>
      </c>
      <c r="B13" s="19">
        <f t="shared" si="1"/>
        <v>46221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20260718-010</v>
      </c>
      <c r="B14" s="19">
        <f t="shared" si="1"/>
        <v>46221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20260718-011</v>
      </c>
      <c r="B15" s="19">
        <f t="shared" si="1"/>
        <v>46221</v>
      </c>
      <c r="C15" s="33" t="s">
        <v>36</v>
      </c>
      <c r="D15" s="31"/>
      <c r="E15" s="22"/>
      <c r="F15" s="23"/>
      <c r="G15" s="24"/>
      <c r="H15" s="25">
        <v>5</v>
      </c>
      <c r="I15" s="26">
        <v>2</v>
      </c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20260718-012</v>
      </c>
      <c r="B16" s="19">
        <f t="shared" si="1"/>
        <v>46221</v>
      </c>
      <c r="C16" s="20" t="s">
        <v>37</v>
      </c>
      <c r="D16" s="21"/>
      <c r="E16" s="22"/>
      <c r="F16" s="23"/>
      <c r="G16" s="24"/>
      <c r="H16" s="25">
        <v>5</v>
      </c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20260718-013</v>
      </c>
      <c r="B17" s="19">
        <f t="shared" si="1"/>
        <v>46221</v>
      </c>
      <c r="C17" s="20" t="s">
        <v>38</v>
      </c>
      <c r="D17" s="31"/>
      <c r="E17" s="22"/>
      <c r="F17" s="23"/>
      <c r="G17" s="24">
        <v>1</v>
      </c>
      <c r="H17" s="25">
        <v>2</v>
      </c>
      <c r="I17" s="26"/>
      <c r="J17" s="27">
        <v>4</v>
      </c>
      <c r="K17" s="28"/>
      <c r="L17" s="15"/>
      <c r="M17" s="16"/>
      <c r="N17" s="15"/>
      <c r="O17" s="16"/>
      <c r="P17" s="17"/>
    </row>
    <row r="18" spans="1:16">
      <c r="A18" s="18" t="str">
        <f t="shared" si="0"/>
        <v>20260718-014</v>
      </c>
      <c r="B18" s="19">
        <f t="shared" si="1"/>
        <v>46221</v>
      </c>
      <c r="C18" s="20" t="s">
        <v>39</v>
      </c>
      <c r="D18" s="21"/>
      <c r="E18" s="22"/>
      <c r="F18" s="23"/>
      <c r="G18" s="24"/>
      <c r="H18" s="25"/>
      <c r="I18" s="26"/>
      <c r="J18" s="27"/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20260718-015</v>
      </c>
      <c r="B19" s="19">
        <f t="shared" si="1"/>
        <v>46221</v>
      </c>
      <c r="C19" s="20" t="s">
        <v>40</v>
      </c>
      <c r="D19" s="31"/>
      <c r="E19" s="22"/>
      <c r="F19" s="23"/>
      <c r="G19" s="24"/>
      <c r="H19" s="25"/>
      <c r="I19" s="26"/>
      <c r="J19" s="27"/>
      <c r="K19" s="28"/>
      <c r="L19" s="15"/>
      <c r="M19" s="16"/>
      <c r="N19" s="15"/>
      <c r="O19" s="16"/>
      <c r="P19" s="17"/>
    </row>
    <row r="20" spans="1:16">
      <c r="A20" s="18" t="str">
        <f t="shared" si="0"/>
        <v>20260718-016</v>
      </c>
      <c r="B20" s="19">
        <f t="shared" si="1"/>
        <v>46221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20260718-017</v>
      </c>
      <c r="B21" s="19">
        <f t="shared" si="1"/>
        <v>46221</v>
      </c>
      <c r="C21" s="20" t="s">
        <v>42</v>
      </c>
      <c r="D21" s="31"/>
      <c r="E21" s="22">
        <v>1</v>
      </c>
      <c r="F21" s="23"/>
      <c r="G21" s="24">
        <v>1</v>
      </c>
      <c r="H21" s="25"/>
      <c r="I21" s="26"/>
      <c r="J21" s="27"/>
      <c r="K21" s="28">
        <v>1</v>
      </c>
      <c r="L21" s="15"/>
      <c r="M21" s="16"/>
      <c r="N21" s="15"/>
      <c r="O21" s="16"/>
      <c r="P21" s="17"/>
    </row>
    <row r="22" spans="1:16">
      <c r="A22" s="18" t="str">
        <f t="shared" si="0"/>
        <v>20260718-018</v>
      </c>
      <c r="B22" s="19">
        <f t="shared" si="1"/>
        <v>46221</v>
      </c>
      <c r="C22" s="20" t="s">
        <v>43</v>
      </c>
      <c r="D22" s="21"/>
      <c r="E22" s="22">
        <v>3</v>
      </c>
      <c r="F22" s="23"/>
      <c r="G22" s="24">
        <v>2</v>
      </c>
      <c r="H22" s="25">
        <v>4</v>
      </c>
      <c r="I22" s="26">
        <v>10</v>
      </c>
      <c r="J22" s="27">
        <v>3</v>
      </c>
      <c r="K22" s="28">
        <v>2</v>
      </c>
      <c r="L22" s="15"/>
      <c r="M22" s="16"/>
      <c r="N22" s="15"/>
      <c r="O22" s="16"/>
      <c r="P22" s="30"/>
    </row>
    <row r="23" spans="1:16">
      <c r="A23" s="18" t="str">
        <f t="shared" si="0"/>
        <v>20260718-019</v>
      </c>
      <c r="B23" s="19">
        <f t="shared" si="1"/>
        <v>46221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20260718-020</v>
      </c>
      <c r="B24" s="19">
        <f t="shared" si="1"/>
        <v>46221</v>
      </c>
      <c r="C24" s="20" t="s">
        <v>103</v>
      </c>
      <c r="D24" s="21">
        <v>15</v>
      </c>
      <c r="E24" s="22"/>
      <c r="F24" s="23"/>
      <c r="G24" s="24"/>
      <c r="H24" s="25"/>
      <c r="I24" s="26"/>
      <c r="J24" s="27"/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20260718-021</v>
      </c>
      <c r="B25" s="19">
        <f t="shared" si="1"/>
        <v>46221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20260718-022</v>
      </c>
      <c r="B26" s="19">
        <f t="shared" si="1"/>
        <v>46221</v>
      </c>
      <c r="C26" s="20" t="s">
        <v>47</v>
      </c>
      <c r="D26" s="21"/>
      <c r="E26" s="22"/>
      <c r="F26" s="23"/>
      <c r="G26" s="24"/>
      <c r="H26" s="25"/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20260718-023</v>
      </c>
      <c r="B27" s="19">
        <f t="shared" si="1"/>
        <v>46221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20260718-024</v>
      </c>
      <c r="B28" s="19">
        <f t="shared" si="1"/>
        <v>46221</v>
      </c>
      <c r="C28" s="20" t="s">
        <v>49</v>
      </c>
      <c r="D28" s="21"/>
      <c r="E28" s="22">
        <v>1</v>
      </c>
      <c r="F28" s="23"/>
      <c r="G28" s="24">
        <v>1</v>
      </c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20260718-025</v>
      </c>
      <c r="B29" s="19">
        <f t="shared" si="1"/>
        <v>46221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20260718-026</v>
      </c>
      <c r="B30" s="19">
        <f t="shared" si="1"/>
        <v>46221</v>
      </c>
      <c r="C30" s="20" t="s">
        <v>51</v>
      </c>
      <c r="D30" s="21"/>
      <c r="E30" s="22"/>
      <c r="F30" s="23"/>
      <c r="G30" s="24"/>
      <c r="H30" s="25"/>
      <c r="I30" s="26"/>
      <c r="J30" s="27"/>
      <c r="K30" s="28"/>
      <c r="L30" s="15"/>
      <c r="M30" s="16"/>
      <c r="N30" s="15"/>
      <c r="O30" s="16"/>
      <c r="P30" s="30"/>
    </row>
    <row r="31" spans="1:16">
      <c r="A31" s="18" t="str">
        <f t="shared" si="0"/>
        <v>20260718-027</v>
      </c>
      <c r="B31" s="19">
        <f t="shared" si="1"/>
        <v>46221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20260718-028</v>
      </c>
      <c r="B32" s="19">
        <f t="shared" si="1"/>
        <v>46221</v>
      </c>
      <c r="C32" s="20" t="s">
        <v>53</v>
      </c>
      <c r="D32" s="21"/>
      <c r="E32" s="22"/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20260718-029</v>
      </c>
      <c r="B33" s="19">
        <f t="shared" si="1"/>
        <v>46221</v>
      </c>
      <c r="C33" s="20" t="s">
        <v>54</v>
      </c>
      <c r="D33" s="31"/>
      <c r="E33" s="22"/>
      <c r="F33" s="23"/>
      <c r="G33" s="24">
        <v>9</v>
      </c>
      <c r="H33" s="25"/>
      <c r="I33" s="26"/>
      <c r="J33" s="27"/>
      <c r="K33" s="28">
        <v>2</v>
      </c>
      <c r="L33" s="15"/>
      <c r="M33" s="16"/>
      <c r="N33" s="15"/>
      <c r="O33" s="16"/>
      <c r="P33" s="17"/>
    </row>
    <row r="34" spans="1:16">
      <c r="A34" s="18" t="str">
        <f t="shared" si="0"/>
        <v>20260718-030</v>
      </c>
      <c r="B34" s="19">
        <f t="shared" si="1"/>
        <v>46221</v>
      </c>
      <c r="C34" s="20" t="s">
        <v>55</v>
      </c>
      <c r="D34" s="21"/>
      <c r="E34" s="22"/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20260718-031</v>
      </c>
      <c r="B35" s="19">
        <f t="shared" si="1"/>
        <v>46221</v>
      </c>
      <c r="C35" s="20" t="s">
        <v>56</v>
      </c>
      <c r="D35" s="31">
        <v>15</v>
      </c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20260718-032</v>
      </c>
      <c r="B36" s="19">
        <f t="shared" si="1"/>
        <v>46221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20260718-033</v>
      </c>
      <c r="B37" s="19">
        <f t="shared" si="1"/>
        <v>46221</v>
      </c>
      <c r="C37" s="20" t="s">
        <v>58</v>
      </c>
      <c r="D37" s="31">
        <v>25</v>
      </c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20260718-034</v>
      </c>
      <c r="B38" s="19">
        <f t="shared" ref="B38:B69" si="3">$B$5</f>
        <v>46221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20260718-035</v>
      </c>
      <c r="B39" s="19">
        <f t="shared" si="3"/>
        <v>46221</v>
      </c>
      <c r="C39" s="20" t="s">
        <v>60</v>
      </c>
      <c r="D39" s="31"/>
      <c r="E39" s="22"/>
      <c r="F39" s="23"/>
      <c r="G39" s="24">
        <v>1</v>
      </c>
      <c r="H39" s="25"/>
      <c r="I39" s="26"/>
      <c r="J39" s="27"/>
      <c r="K39" s="28">
        <v>1</v>
      </c>
      <c r="L39" s="15"/>
      <c r="M39" s="16"/>
      <c r="N39" s="15"/>
      <c r="O39" s="16"/>
      <c r="P39" s="17"/>
    </row>
    <row r="40" spans="1:16">
      <c r="A40" s="18" t="str">
        <f t="shared" si="2"/>
        <v>20260718-036</v>
      </c>
      <c r="B40" s="19">
        <f t="shared" si="3"/>
        <v>46221</v>
      </c>
      <c r="C40" s="20" t="s">
        <v>61</v>
      </c>
      <c r="D40" s="21"/>
      <c r="E40" s="22"/>
      <c r="F40" s="23">
        <v>3</v>
      </c>
      <c r="G40" s="24"/>
      <c r="H40" s="25"/>
      <c r="I40" s="26"/>
      <c r="J40" s="27"/>
      <c r="K40" s="28">
        <v>2</v>
      </c>
      <c r="L40" s="15"/>
      <c r="M40" s="16"/>
      <c r="N40" s="15"/>
      <c r="O40" s="16"/>
      <c r="P40" s="30"/>
    </row>
    <row r="41" spans="1:16">
      <c r="A41" s="18" t="str">
        <f t="shared" si="2"/>
        <v>20260718-037</v>
      </c>
      <c r="B41" s="19">
        <f t="shared" si="3"/>
        <v>46221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20260718-038</v>
      </c>
      <c r="B42" s="19">
        <f t="shared" si="3"/>
        <v>46221</v>
      </c>
      <c r="C42" s="20" t="s">
        <v>63</v>
      </c>
      <c r="D42" s="21"/>
      <c r="E42" s="22">
        <v>2</v>
      </c>
      <c r="F42" s="23"/>
      <c r="G42" s="24"/>
      <c r="H42" s="25"/>
      <c r="I42" s="26"/>
      <c r="J42" s="27"/>
      <c r="K42" s="28">
        <v>2</v>
      </c>
      <c r="L42" s="15"/>
      <c r="M42" s="16"/>
      <c r="N42" s="15"/>
      <c r="O42" s="16"/>
      <c r="P42" s="30"/>
    </row>
    <row r="43" spans="1:16">
      <c r="A43" s="18" t="str">
        <f t="shared" si="2"/>
        <v>20260718-039</v>
      </c>
      <c r="B43" s="19">
        <f t="shared" si="3"/>
        <v>46221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20260718-040</v>
      </c>
      <c r="B44" s="19">
        <f t="shared" si="3"/>
        <v>46221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20260718-041</v>
      </c>
      <c r="B45" s="19">
        <f t="shared" si="3"/>
        <v>46221</v>
      </c>
      <c r="C45" s="20" t="s">
        <v>66</v>
      </c>
      <c r="D45" s="31"/>
      <c r="E45" s="22"/>
      <c r="F45" s="23"/>
      <c r="G45" s="24">
        <v>1</v>
      </c>
      <c r="H45" s="25"/>
      <c r="I45" s="26"/>
      <c r="J45" s="27"/>
      <c r="K45" s="28">
        <v>1</v>
      </c>
      <c r="L45" s="15"/>
      <c r="M45" s="16"/>
      <c r="N45" s="15"/>
      <c r="O45" s="16"/>
      <c r="P45" s="17"/>
    </row>
    <row r="46" spans="1:16">
      <c r="A46" s="18" t="str">
        <f t="shared" si="2"/>
        <v>20260718-042</v>
      </c>
      <c r="B46" s="19">
        <f t="shared" si="3"/>
        <v>46221</v>
      </c>
      <c r="C46" s="20" t="s">
        <v>67</v>
      </c>
      <c r="D46" s="21"/>
      <c r="E46" s="22"/>
      <c r="F46" s="23"/>
      <c r="G46" s="24">
        <v>1</v>
      </c>
      <c r="H46" s="25"/>
      <c r="I46" s="26"/>
      <c r="J46" s="27"/>
      <c r="K46" s="28">
        <v>2</v>
      </c>
      <c r="L46" s="15"/>
      <c r="M46" s="16"/>
      <c r="N46" s="15"/>
      <c r="O46" s="16"/>
      <c r="P46" s="30"/>
    </row>
    <row r="47" spans="1:16">
      <c r="A47" s="18" t="str">
        <f t="shared" si="2"/>
        <v>20260718-043</v>
      </c>
      <c r="B47" s="19">
        <f t="shared" si="3"/>
        <v>46221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20260718-044</v>
      </c>
      <c r="B48" s="19">
        <f t="shared" si="3"/>
        <v>46221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20260718-045</v>
      </c>
      <c r="B49" s="19">
        <f t="shared" si="3"/>
        <v>46221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20260718-046</v>
      </c>
      <c r="B50" s="19">
        <f t="shared" si="3"/>
        <v>46221</v>
      </c>
      <c r="C50" s="20" t="s">
        <v>71</v>
      </c>
      <c r="D50" s="21"/>
      <c r="E50" s="22">
        <v>1</v>
      </c>
      <c r="F50" s="23"/>
      <c r="G50" s="24"/>
      <c r="H50" s="25"/>
      <c r="I50" s="26"/>
      <c r="J50" s="27"/>
      <c r="K50" s="28">
        <v>1</v>
      </c>
      <c r="L50" s="15"/>
      <c r="M50" s="16"/>
      <c r="N50" s="15"/>
      <c r="O50" s="16"/>
      <c r="P50" s="30"/>
    </row>
    <row r="51" spans="1:16">
      <c r="A51" s="18" t="str">
        <f t="shared" si="2"/>
        <v>20260718-047</v>
      </c>
      <c r="B51" s="19">
        <f t="shared" si="3"/>
        <v>46221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20260718-048</v>
      </c>
      <c r="B52" s="19">
        <f t="shared" si="3"/>
        <v>46221</v>
      </c>
      <c r="C52" s="20" t="s">
        <v>73</v>
      </c>
      <c r="D52" s="21"/>
      <c r="E52" s="22"/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20260718-049</v>
      </c>
      <c r="B53" s="19">
        <f t="shared" si="3"/>
        <v>46221</v>
      </c>
      <c r="C53" s="20" t="s">
        <v>74</v>
      </c>
      <c r="D53" s="31"/>
      <c r="E53" s="22"/>
      <c r="F53" s="23"/>
      <c r="G53" s="24"/>
      <c r="H53" s="25">
        <v>2</v>
      </c>
      <c r="I53" s="26">
        <v>4</v>
      </c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20260718-050</v>
      </c>
      <c r="B54" s="19">
        <f t="shared" si="3"/>
        <v>46221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20260718-051</v>
      </c>
      <c r="B55" s="19">
        <f t="shared" si="3"/>
        <v>46221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20260718-052</v>
      </c>
      <c r="B56" s="19">
        <f t="shared" si="3"/>
        <v>46221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20260718-053</v>
      </c>
      <c r="B57" s="19">
        <f t="shared" si="3"/>
        <v>46221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20260718-054</v>
      </c>
      <c r="B58" s="19">
        <f t="shared" si="3"/>
        <v>46221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20260718-055</v>
      </c>
      <c r="B59" s="19">
        <f t="shared" si="3"/>
        <v>46221</v>
      </c>
      <c r="C59" s="20" t="s">
        <v>80</v>
      </c>
      <c r="D59" s="31"/>
      <c r="E59" s="22"/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20260718-056</v>
      </c>
      <c r="B60" s="19">
        <f t="shared" si="3"/>
        <v>46221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20260718-057</v>
      </c>
      <c r="B61" s="19">
        <f t="shared" si="3"/>
        <v>46221</v>
      </c>
      <c r="C61" s="20" t="s">
        <v>82</v>
      </c>
      <c r="D61" s="21"/>
      <c r="E61" s="22"/>
      <c r="F61" s="23"/>
      <c r="G61" s="24"/>
      <c r="H61" s="25"/>
      <c r="I61" s="26"/>
      <c r="J61" s="27">
        <v>2</v>
      </c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20260718-058</v>
      </c>
      <c r="B62" s="19">
        <f t="shared" si="3"/>
        <v>46221</v>
      </c>
      <c r="C62" s="20" t="s">
        <v>83</v>
      </c>
      <c r="D62" s="31"/>
      <c r="E62" s="22"/>
      <c r="F62" s="23"/>
      <c r="G62" s="24"/>
      <c r="H62" s="25">
        <v>7</v>
      </c>
      <c r="I62" s="26">
        <v>7</v>
      </c>
      <c r="J62" s="27">
        <v>2</v>
      </c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20260718-059</v>
      </c>
      <c r="B63" s="19">
        <f t="shared" si="3"/>
        <v>46221</v>
      </c>
      <c r="C63" s="20" t="s">
        <v>84</v>
      </c>
      <c r="D63" s="21"/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20260718-060</v>
      </c>
      <c r="B64" s="19">
        <f t="shared" si="3"/>
        <v>46221</v>
      </c>
      <c r="C64" s="20" t="s">
        <v>85</v>
      </c>
      <c r="D64" s="31"/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20260718-061</v>
      </c>
      <c r="B65" s="19">
        <f t="shared" si="3"/>
        <v>46221</v>
      </c>
      <c r="C65" s="20" t="s">
        <v>86</v>
      </c>
      <c r="D65" s="21"/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20260718-062</v>
      </c>
      <c r="B66" s="19">
        <f t="shared" si="3"/>
        <v>46221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20260718-063</v>
      </c>
      <c r="B67" s="19">
        <f t="shared" si="3"/>
        <v>46221</v>
      </c>
      <c r="C67" s="20" t="s">
        <v>88</v>
      </c>
      <c r="D67" s="21"/>
      <c r="E67" s="22"/>
      <c r="F67" s="23"/>
      <c r="G67" s="24"/>
      <c r="H67" s="25"/>
      <c r="I67" s="26"/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20260718-064</v>
      </c>
      <c r="B68" s="19">
        <f t="shared" si="3"/>
        <v>46221</v>
      </c>
      <c r="C68" s="20" t="s">
        <v>89</v>
      </c>
      <c r="D68" s="31"/>
      <c r="E68" s="22"/>
      <c r="F68" s="23"/>
      <c r="G68" s="24"/>
      <c r="H68" s="25"/>
      <c r="I68" s="26"/>
      <c r="J68" s="27"/>
      <c r="K68" s="28"/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20260718-065</v>
      </c>
      <c r="B69" s="19">
        <f t="shared" si="3"/>
        <v>46221</v>
      </c>
      <c r="C69" s="20" t="s">
        <v>90</v>
      </c>
      <c r="D69" s="21"/>
      <c r="E69" s="22"/>
      <c r="F69" s="23"/>
      <c r="G69" s="24"/>
      <c r="H69" s="25"/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20260718-066</v>
      </c>
      <c r="B70" s="19">
        <f t="shared" ref="B70:B80" si="5">$B$5</f>
        <v>46221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20260718-067</v>
      </c>
      <c r="B71" s="19">
        <f t="shared" si="5"/>
        <v>46221</v>
      </c>
      <c r="C71" s="20" t="s">
        <v>92</v>
      </c>
      <c r="D71" s="21"/>
      <c r="E71" s="22"/>
      <c r="F71" s="23"/>
      <c r="G71" s="24">
        <v>1</v>
      </c>
      <c r="H71" s="25"/>
      <c r="I71" s="26"/>
      <c r="J71" s="27"/>
      <c r="K71" s="28">
        <v>1</v>
      </c>
      <c r="L71" s="15"/>
      <c r="M71" s="16"/>
      <c r="N71" s="15"/>
      <c r="O71" s="16"/>
      <c r="P71" s="30"/>
    </row>
    <row r="72" spans="1:16">
      <c r="A72" s="18" t="str">
        <f t="shared" si="4"/>
        <v>20260718-068</v>
      </c>
      <c r="B72" s="19">
        <f t="shared" si="5"/>
        <v>46221</v>
      </c>
      <c r="C72" s="20" t="s">
        <v>93</v>
      </c>
      <c r="D72" s="31"/>
      <c r="E72" s="22"/>
      <c r="F72" s="23"/>
      <c r="G72" s="24"/>
      <c r="H72" s="25"/>
      <c r="I72" s="26"/>
      <c r="J72" s="27"/>
      <c r="K72" s="28"/>
      <c r="L72" s="15"/>
      <c r="M72" s="16"/>
      <c r="N72" s="15"/>
      <c r="O72" s="16"/>
      <c r="P72" s="17"/>
    </row>
    <row r="73" spans="1:16">
      <c r="A73" s="18" t="str">
        <f t="shared" si="4"/>
        <v>20260718-069</v>
      </c>
      <c r="B73" s="19">
        <f t="shared" si="5"/>
        <v>46221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20260718-070</v>
      </c>
      <c r="B74" s="19">
        <f t="shared" si="5"/>
        <v>46221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1</v>
      </c>
      <c r="M74" s="16"/>
      <c r="N74" s="15"/>
      <c r="O74" s="16"/>
    </row>
    <row r="75" spans="1:16">
      <c r="A75" s="18" t="str">
        <f t="shared" si="4"/>
        <v>20260718-071</v>
      </c>
      <c r="B75" s="19">
        <f t="shared" si="5"/>
        <v>46221</v>
      </c>
      <c r="C75" s="20" t="s">
        <v>96</v>
      </c>
      <c r="D75" s="21"/>
      <c r="E75" s="22"/>
      <c r="F75" s="23"/>
      <c r="G75" s="24">
        <v>4</v>
      </c>
      <c r="H75" s="25"/>
      <c r="I75" s="26"/>
      <c r="J75" s="27"/>
      <c r="K75" s="28">
        <v>3</v>
      </c>
      <c r="L75" s="15"/>
      <c r="M75" s="16"/>
      <c r="N75" s="15"/>
      <c r="O75" s="16"/>
      <c r="P75" s="30"/>
    </row>
    <row r="76" spans="1:16">
      <c r="A76" s="18" t="str">
        <f t="shared" si="4"/>
        <v>20260718-072</v>
      </c>
      <c r="B76" s="19">
        <f t="shared" si="5"/>
        <v>46221</v>
      </c>
      <c r="C76" s="20" t="s">
        <v>97</v>
      </c>
      <c r="D76" s="31"/>
      <c r="E76" s="22"/>
      <c r="F76" s="23"/>
      <c r="G76" s="24">
        <v>2</v>
      </c>
      <c r="H76" s="25"/>
      <c r="I76" s="26"/>
      <c r="J76" s="27"/>
      <c r="K76" s="28">
        <v>1</v>
      </c>
      <c r="L76" s="15"/>
      <c r="M76" s="16"/>
      <c r="N76" s="15"/>
      <c r="O76" s="16"/>
    </row>
    <row r="77" spans="1:16">
      <c r="A77" s="18" t="str">
        <f t="shared" si="4"/>
        <v>20260718-073</v>
      </c>
      <c r="B77" s="19">
        <f t="shared" si="5"/>
        <v>46221</v>
      </c>
      <c r="C77" s="20" t="s">
        <v>98</v>
      </c>
      <c r="D77" s="21"/>
      <c r="E77" s="22"/>
      <c r="F77" s="23"/>
      <c r="G77" s="24">
        <v>1</v>
      </c>
      <c r="H77" s="25"/>
      <c r="I77" s="26"/>
      <c r="J77" s="27"/>
      <c r="K77" s="28"/>
      <c r="L77" s="34">
        <v>1</v>
      </c>
      <c r="M77" s="16"/>
      <c r="N77" s="15"/>
      <c r="O77" s="16"/>
      <c r="P77" s="30"/>
    </row>
    <row r="78" spans="1:16">
      <c r="A78" s="18" t="str">
        <f t="shared" si="4"/>
        <v>20260718-074</v>
      </c>
      <c r="B78" s="19">
        <f t="shared" si="5"/>
        <v>46221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20260718-075</v>
      </c>
      <c r="B79" s="19">
        <f t="shared" si="5"/>
        <v>46221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20260718-076</v>
      </c>
      <c r="B80" s="19">
        <f t="shared" si="5"/>
        <v>46221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80"/>
  <sheetViews>
    <sheetView workbookViewId="0">
      <selection activeCell="C14" sqref="C1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20260719-001</v>
      </c>
      <c r="B5" s="5">
        <v>46222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20260719-002</v>
      </c>
      <c r="B6" s="19">
        <f t="shared" ref="B6:B37" si="1">$B$5</f>
        <v>46222</v>
      </c>
      <c r="C6" s="20" t="s">
        <v>28</v>
      </c>
      <c r="D6" s="21"/>
      <c r="E6" s="22"/>
      <c r="F6" s="23"/>
      <c r="G6" s="24"/>
      <c r="H6" s="25"/>
      <c r="I6" s="26"/>
      <c r="J6" s="27"/>
      <c r="K6" s="28"/>
      <c r="L6" s="15"/>
      <c r="M6" s="29"/>
      <c r="N6" s="15"/>
      <c r="O6" s="29"/>
      <c r="P6" s="30"/>
    </row>
    <row r="7" spans="1:16">
      <c r="A7" s="18" t="str">
        <f t="shared" si="0"/>
        <v>20260719-003</v>
      </c>
      <c r="B7" s="19">
        <f t="shared" si="1"/>
        <v>46222</v>
      </c>
      <c r="C7" s="20" t="s">
        <v>29</v>
      </c>
      <c r="D7" s="31"/>
      <c r="E7" s="22"/>
      <c r="F7" s="23"/>
      <c r="G7" s="24"/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20260719-004</v>
      </c>
      <c r="B8" s="19">
        <f t="shared" si="1"/>
        <v>46222</v>
      </c>
      <c r="C8" s="20" t="s">
        <v>30</v>
      </c>
      <c r="D8" s="21"/>
      <c r="E8" s="22"/>
      <c r="F8" s="23"/>
      <c r="G8" s="24"/>
      <c r="H8" s="25"/>
      <c r="I8" s="26"/>
      <c r="J8" s="27"/>
      <c r="K8" s="28"/>
      <c r="L8" s="15"/>
      <c r="M8" s="16"/>
      <c r="N8" s="15"/>
      <c r="O8" s="16"/>
      <c r="P8" s="30"/>
    </row>
    <row r="9" spans="1:16">
      <c r="A9" s="18" t="str">
        <f t="shared" si="0"/>
        <v>20260719-005</v>
      </c>
      <c r="B9" s="19">
        <f t="shared" si="1"/>
        <v>46222</v>
      </c>
      <c r="C9" s="20" t="s">
        <v>31</v>
      </c>
      <c r="D9" s="31"/>
      <c r="E9" s="22"/>
      <c r="F9" s="23"/>
      <c r="G9" s="24"/>
      <c r="H9" s="25"/>
      <c r="I9" s="26"/>
      <c r="J9" s="27"/>
      <c r="K9" s="28"/>
      <c r="L9" s="15"/>
      <c r="M9" s="29"/>
      <c r="N9" s="15"/>
      <c r="O9" s="29"/>
      <c r="P9" s="17"/>
    </row>
    <row r="10" spans="1:16">
      <c r="A10" s="18" t="str">
        <f t="shared" si="0"/>
        <v>20260719-006</v>
      </c>
      <c r="B10" s="19">
        <f t="shared" si="1"/>
        <v>46222</v>
      </c>
      <c r="C10" s="20" t="s">
        <v>32</v>
      </c>
      <c r="D10" s="21"/>
      <c r="E10" s="22"/>
      <c r="F10" s="23"/>
      <c r="G10" s="24"/>
      <c r="H10" s="25"/>
      <c r="I10" s="26"/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20260719-007</v>
      </c>
      <c r="B11" s="19">
        <f t="shared" si="1"/>
        <v>46222</v>
      </c>
      <c r="C11" s="20" t="s">
        <v>33</v>
      </c>
      <c r="D11" s="31"/>
      <c r="E11" s="22"/>
      <c r="F11" s="23"/>
      <c r="G11" s="24"/>
      <c r="H11" s="25"/>
      <c r="I11" s="26"/>
      <c r="J11" s="27"/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20260719-008</v>
      </c>
      <c r="B12" s="19">
        <f t="shared" si="1"/>
        <v>46222</v>
      </c>
      <c r="C12" s="33" t="s">
        <v>34</v>
      </c>
      <c r="D12" s="21"/>
      <c r="E12" s="22"/>
      <c r="F12" s="23"/>
      <c r="G12" s="24"/>
      <c r="H12" s="25"/>
      <c r="I12" s="26"/>
      <c r="J12" s="27"/>
      <c r="K12" s="28"/>
      <c r="L12" s="15"/>
      <c r="M12" s="16"/>
      <c r="N12" s="15"/>
      <c r="O12" s="16"/>
      <c r="P12" s="30"/>
    </row>
    <row r="13" spans="1:16">
      <c r="A13" s="18" t="str">
        <f t="shared" si="0"/>
        <v>20260719-009</v>
      </c>
      <c r="B13" s="19">
        <f t="shared" si="1"/>
        <v>46222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20260719-010</v>
      </c>
      <c r="B14" s="19">
        <f t="shared" si="1"/>
        <v>46222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20260719-011</v>
      </c>
      <c r="B15" s="19">
        <f t="shared" si="1"/>
        <v>46222</v>
      </c>
      <c r="C15" s="33" t="s">
        <v>36</v>
      </c>
      <c r="D15" s="31"/>
      <c r="E15" s="22"/>
      <c r="F15" s="23"/>
      <c r="G15" s="24"/>
      <c r="H15" s="25"/>
      <c r="I15" s="26"/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20260719-012</v>
      </c>
      <c r="B16" s="19">
        <f t="shared" si="1"/>
        <v>46222</v>
      </c>
      <c r="C16" s="20" t="s">
        <v>37</v>
      </c>
      <c r="D16" s="21"/>
      <c r="E16" s="22"/>
      <c r="F16" s="23"/>
      <c r="G16" s="24"/>
      <c r="H16" s="25"/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20260719-013</v>
      </c>
      <c r="B17" s="19">
        <f t="shared" si="1"/>
        <v>46222</v>
      </c>
      <c r="C17" s="20" t="s">
        <v>38</v>
      </c>
      <c r="D17" s="31"/>
      <c r="E17" s="22"/>
      <c r="F17" s="23"/>
      <c r="G17" s="24"/>
      <c r="H17" s="25"/>
      <c r="I17" s="26"/>
      <c r="J17" s="27"/>
      <c r="K17" s="28"/>
      <c r="L17" s="15"/>
      <c r="M17" s="16"/>
      <c r="N17" s="15"/>
      <c r="O17" s="16"/>
      <c r="P17" s="17"/>
    </row>
    <row r="18" spans="1:16">
      <c r="A18" s="18" t="str">
        <f t="shared" si="0"/>
        <v>20260719-014</v>
      </c>
      <c r="B18" s="19">
        <f t="shared" si="1"/>
        <v>46222</v>
      </c>
      <c r="C18" s="20" t="s">
        <v>39</v>
      </c>
      <c r="D18" s="21"/>
      <c r="E18" s="22"/>
      <c r="F18" s="23"/>
      <c r="G18" s="24"/>
      <c r="H18" s="25"/>
      <c r="I18" s="26"/>
      <c r="J18" s="27"/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20260719-015</v>
      </c>
      <c r="B19" s="19">
        <f t="shared" si="1"/>
        <v>46222</v>
      </c>
      <c r="C19" s="20" t="s">
        <v>40</v>
      </c>
      <c r="D19" s="31"/>
      <c r="E19" s="22"/>
      <c r="F19" s="23"/>
      <c r="G19" s="24"/>
      <c r="H19" s="25"/>
      <c r="I19" s="26"/>
      <c r="J19" s="27"/>
      <c r="K19" s="28"/>
      <c r="L19" s="15"/>
      <c r="M19" s="16"/>
      <c r="N19" s="15"/>
      <c r="O19" s="16"/>
      <c r="P19" s="17"/>
    </row>
    <row r="20" spans="1:16">
      <c r="A20" s="18" t="str">
        <f t="shared" si="0"/>
        <v>20260719-016</v>
      </c>
      <c r="B20" s="19">
        <f t="shared" si="1"/>
        <v>46222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20260719-017</v>
      </c>
      <c r="B21" s="19">
        <f t="shared" si="1"/>
        <v>46222</v>
      </c>
      <c r="C21" s="20" t="s">
        <v>42</v>
      </c>
      <c r="D21" s="31"/>
      <c r="E21" s="22"/>
      <c r="F21" s="23"/>
      <c r="G21" s="24"/>
      <c r="H21" s="25"/>
      <c r="I21" s="26"/>
      <c r="J21" s="27"/>
      <c r="K21" s="28"/>
      <c r="L21" s="15"/>
      <c r="M21" s="16"/>
      <c r="N21" s="15"/>
      <c r="O21" s="16"/>
      <c r="P21" s="17"/>
    </row>
    <row r="22" spans="1:16">
      <c r="A22" s="18" t="str">
        <f t="shared" si="0"/>
        <v>20260719-018</v>
      </c>
      <c r="B22" s="19">
        <f t="shared" si="1"/>
        <v>46222</v>
      </c>
      <c r="C22" s="20" t="s">
        <v>43</v>
      </c>
      <c r="D22" s="21"/>
      <c r="E22" s="22"/>
      <c r="F22" s="23"/>
      <c r="G22" s="24"/>
      <c r="H22" s="25"/>
      <c r="I22" s="26"/>
      <c r="J22" s="27"/>
      <c r="K22" s="28"/>
      <c r="L22" s="15"/>
      <c r="M22" s="16"/>
      <c r="N22" s="15"/>
      <c r="O22" s="16"/>
      <c r="P22" s="30"/>
    </row>
    <row r="23" spans="1:16">
      <c r="A23" s="18" t="str">
        <f t="shared" si="0"/>
        <v>20260719-019</v>
      </c>
      <c r="B23" s="19">
        <f t="shared" si="1"/>
        <v>46222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20260719-020</v>
      </c>
      <c r="B24" s="19">
        <f t="shared" si="1"/>
        <v>46222</v>
      </c>
      <c r="C24" s="20" t="s">
        <v>45</v>
      </c>
      <c r="D24" s="21"/>
      <c r="E24" s="22"/>
      <c r="F24" s="23"/>
      <c r="G24" s="24"/>
      <c r="H24" s="25"/>
      <c r="I24" s="26"/>
      <c r="J24" s="27"/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20260719-021</v>
      </c>
      <c r="B25" s="19">
        <f t="shared" si="1"/>
        <v>46222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20260719-022</v>
      </c>
      <c r="B26" s="19">
        <f t="shared" si="1"/>
        <v>46222</v>
      </c>
      <c r="C26" s="20" t="s">
        <v>47</v>
      </c>
      <c r="D26" s="21"/>
      <c r="E26" s="22"/>
      <c r="F26" s="23"/>
      <c r="G26" s="24"/>
      <c r="H26" s="25"/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20260719-023</v>
      </c>
      <c r="B27" s="19">
        <f t="shared" si="1"/>
        <v>46222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20260719-024</v>
      </c>
      <c r="B28" s="19">
        <f t="shared" si="1"/>
        <v>46222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20260719-025</v>
      </c>
      <c r="B29" s="19">
        <f t="shared" si="1"/>
        <v>46222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20260719-026</v>
      </c>
      <c r="B30" s="19">
        <f t="shared" si="1"/>
        <v>46222</v>
      </c>
      <c r="C30" s="20" t="s">
        <v>51</v>
      </c>
      <c r="D30" s="21"/>
      <c r="E30" s="22"/>
      <c r="F30" s="23"/>
      <c r="G30" s="24"/>
      <c r="H30" s="25"/>
      <c r="I30" s="26"/>
      <c r="J30" s="27"/>
      <c r="K30" s="28"/>
      <c r="L30" s="15"/>
      <c r="M30" s="16"/>
      <c r="N30" s="15"/>
      <c r="O30" s="16"/>
      <c r="P30" s="30"/>
    </row>
    <row r="31" spans="1:16">
      <c r="A31" s="18" t="str">
        <f t="shared" si="0"/>
        <v>20260719-027</v>
      </c>
      <c r="B31" s="19">
        <f t="shared" si="1"/>
        <v>46222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20260719-028</v>
      </c>
      <c r="B32" s="19">
        <f t="shared" si="1"/>
        <v>46222</v>
      </c>
      <c r="C32" s="20" t="s">
        <v>53</v>
      </c>
      <c r="D32" s="21"/>
      <c r="E32" s="22"/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20260719-029</v>
      </c>
      <c r="B33" s="19">
        <f t="shared" si="1"/>
        <v>46222</v>
      </c>
      <c r="C33" s="20" t="s">
        <v>54</v>
      </c>
      <c r="D33" s="31"/>
      <c r="E33" s="22"/>
      <c r="F33" s="23"/>
      <c r="G33" s="24"/>
      <c r="H33" s="25"/>
      <c r="I33" s="26"/>
      <c r="J33" s="27"/>
      <c r="K33" s="28"/>
      <c r="L33" s="15"/>
      <c r="M33" s="16"/>
      <c r="N33" s="15"/>
      <c r="O33" s="16"/>
      <c r="P33" s="17"/>
    </row>
    <row r="34" spans="1:16">
      <c r="A34" s="18" t="str">
        <f t="shared" si="0"/>
        <v>20260719-030</v>
      </c>
      <c r="B34" s="19">
        <f t="shared" si="1"/>
        <v>46222</v>
      </c>
      <c r="C34" s="20" t="s">
        <v>55</v>
      </c>
      <c r="D34" s="21"/>
      <c r="E34" s="22"/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20260719-031</v>
      </c>
      <c r="B35" s="19">
        <f t="shared" si="1"/>
        <v>46222</v>
      </c>
      <c r="C35" s="20" t="s">
        <v>56</v>
      </c>
      <c r="D35" s="31"/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20260719-032</v>
      </c>
      <c r="B36" s="19">
        <f t="shared" si="1"/>
        <v>46222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20260719-033</v>
      </c>
      <c r="B37" s="19">
        <f t="shared" si="1"/>
        <v>46222</v>
      </c>
      <c r="C37" s="20" t="s">
        <v>58</v>
      </c>
      <c r="D37" s="31"/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20260719-034</v>
      </c>
      <c r="B38" s="19">
        <f t="shared" ref="B38:B69" si="3">$B$5</f>
        <v>46222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20260719-035</v>
      </c>
      <c r="B39" s="19">
        <f t="shared" si="3"/>
        <v>46222</v>
      </c>
      <c r="C39" s="20" t="s">
        <v>60</v>
      </c>
      <c r="D39" s="31"/>
      <c r="E39" s="22"/>
      <c r="F39" s="23"/>
      <c r="G39" s="24"/>
      <c r="H39" s="25"/>
      <c r="I39" s="26"/>
      <c r="J39" s="27"/>
      <c r="K39" s="28"/>
      <c r="L39" s="15"/>
      <c r="M39" s="16"/>
      <c r="N39" s="15"/>
      <c r="O39" s="16"/>
      <c r="P39" s="17"/>
    </row>
    <row r="40" spans="1:16">
      <c r="A40" s="18" t="str">
        <f t="shared" si="2"/>
        <v>20260719-036</v>
      </c>
      <c r="B40" s="19">
        <f t="shared" si="3"/>
        <v>46222</v>
      </c>
      <c r="C40" s="20" t="s">
        <v>61</v>
      </c>
      <c r="D40" s="21"/>
      <c r="E40" s="22"/>
      <c r="F40" s="23"/>
      <c r="G40" s="24"/>
      <c r="H40" s="25"/>
      <c r="I40" s="26"/>
      <c r="J40" s="27"/>
      <c r="K40" s="28"/>
      <c r="L40" s="15"/>
      <c r="M40" s="16"/>
      <c r="N40" s="15"/>
      <c r="O40" s="16"/>
      <c r="P40" s="30"/>
    </row>
    <row r="41" spans="1:16">
      <c r="A41" s="18" t="str">
        <f t="shared" si="2"/>
        <v>20260719-037</v>
      </c>
      <c r="B41" s="19">
        <f t="shared" si="3"/>
        <v>46222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20260719-038</v>
      </c>
      <c r="B42" s="19">
        <f t="shared" si="3"/>
        <v>46222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20260719-039</v>
      </c>
      <c r="B43" s="19">
        <f t="shared" si="3"/>
        <v>46222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20260719-040</v>
      </c>
      <c r="B44" s="19">
        <f t="shared" si="3"/>
        <v>46222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20260719-041</v>
      </c>
      <c r="B45" s="19">
        <f t="shared" si="3"/>
        <v>46222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20260719-042</v>
      </c>
      <c r="B46" s="19">
        <f t="shared" si="3"/>
        <v>46222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20260719-043</v>
      </c>
      <c r="B47" s="19">
        <f t="shared" si="3"/>
        <v>46222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20260719-044</v>
      </c>
      <c r="B48" s="19">
        <f t="shared" si="3"/>
        <v>46222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20260719-045</v>
      </c>
      <c r="B49" s="19">
        <f t="shared" si="3"/>
        <v>46222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20260719-046</v>
      </c>
      <c r="B50" s="19">
        <f t="shared" si="3"/>
        <v>46222</v>
      </c>
      <c r="C50" s="20" t="s">
        <v>71</v>
      </c>
      <c r="D50" s="21"/>
      <c r="E50" s="22"/>
      <c r="F50" s="23"/>
      <c r="G50" s="24"/>
      <c r="H50" s="25"/>
      <c r="I50" s="26"/>
      <c r="J50" s="27"/>
      <c r="K50" s="28"/>
      <c r="L50" s="15"/>
      <c r="M50" s="16"/>
      <c r="N50" s="15"/>
      <c r="O50" s="16"/>
      <c r="P50" s="30"/>
    </row>
    <row r="51" spans="1:16">
      <c r="A51" s="18" t="str">
        <f t="shared" si="2"/>
        <v>20260719-047</v>
      </c>
      <c r="B51" s="19">
        <f t="shared" si="3"/>
        <v>46222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20260719-048</v>
      </c>
      <c r="B52" s="19">
        <f t="shared" si="3"/>
        <v>46222</v>
      </c>
      <c r="C52" s="20" t="s">
        <v>73</v>
      </c>
      <c r="D52" s="21"/>
      <c r="E52" s="22"/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20260719-049</v>
      </c>
      <c r="B53" s="19">
        <f t="shared" si="3"/>
        <v>46222</v>
      </c>
      <c r="C53" s="20" t="s">
        <v>74</v>
      </c>
      <c r="D53" s="31"/>
      <c r="E53" s="22"/>
      <c r="F53" s="23"/>
      <c r="G53" s="24"/>
      <c r="H53" s="25"/>
      <c r="I53" s="26"/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20260719-050</v>
      </c>
      <c r="B54" s="19">
        <f t="shared" si="3"/>
        <v>46222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20260719-051</v>
      </c>
      <c r="B55" s="19">
        <f t="shared" si="3"/>
        <v>46222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20260719-052</v>
      </c>
      <c r="B56" s="19">
        <f t="shared" si="3"/>
        <v>46222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20260719-053</v>
      </c>
      <c r="B57" s="19">
        <f t="shared" si="3"/>
        <v>46222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20260719-054</v>
      </c>
      <c r="B58" s="19">
        <f t="shared" si="3"/>
        <v>46222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20260719-055</v>
      </c>
      <c r="B59" s="19">
        <f t="shared" si="3"/>
        <v>46222</v>
      </c>
      <c r="C59" s="20" t="s">
        <v>80</v>
      </c>
      <c r="D59" s="31"/>
      <c r="E59" s="22"/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20260719-056</v>
      </c>
      <c r="B60" s="19">
        <f t="shared" si="3"/>
        <v>46222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20260719-057</v>
      </c>
      <c r="B61" s="19">
        <f t="shared" si="3"/>
        <v>46222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20260719-058</v>
      </c>
      <c r="B62" s="19">
        <f t="shared" si="3"/>
        <v>46222</v>
      </c>
      <c r="C62" s="20" t="s">
        <v>83</v>
      </c>
      <c r="D62" s="31"/>
      <c r="E62" s="22"/>
      <c r="F62" s="23"/>
      <c r="G62" s="24"/>
      <c r="H62" s="25"/>
      <c r="I62" s="26"/>
      <c r="J62" s="27"/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20260719-059</v>
      </c>
      <c r="B63" s="19">
        <f t="shared" si="3"/>
        <v>46222</v>
      </c>
      <c r="C63" s="20" t="s">
        <v>84</v>
      </c>
      <c r="D63" s="21"/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20260719-060</v>
      </c>
      <c r="B64" s="19">
        <f t="shared" si="3"/>
        <v>46222</v>
      </c>
      <c r="C64" s="20" t="s">
        <v>85</v>
      </c>
      <c r="D64" s="31"/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20260719-061</v>
      </c>
      <c r="B65" s="19">
        <f t="shared" si="3"/>
        <v>46222</v>
      </c>
      <c r="C65" s="20" t="s">
        <v>86</v>
      </c>
      <c r="D65" s="21"/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20260719-062</v>
      </c>
      <c r="B66" s="19">
        <f t="shared" si="3"/>
        <v>46222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20260719-063</v>
      </c>
      <c r="B67" s="19">
        <f t="shared" si="3"/>
        <v>46222</v>
      </c>
      <c r="C67" s="20" t="s">
        <v>88</v>
      </c>
      <c r="D67" s="21"/>
      <c r="E67" s="22"/>
      <c r="F67" s="23"/>
      <c r="G67" s="24"/>
      <c r="H67" s="25"/>
      <c r="I67" s="26"/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20260719-064</v>
      </c>
      <c r="B68" s="19">
        <f t="shared" si="3"/>
        <v>46222</v>
      </c>
      <c r="C68" s="20" t="s">
        <v>89</v>
      </c>
      <c r="D68" s="31"/>
      <c r="E68" s="22"/>
      <c r="F68" s="23"/>
      <c r="G68" s="24"/>
      <c r="H68" s="25"/>
      <c r="I68" s="26"/>
      <c r="J68" s="27"/>
      <c r="K68" s="28"/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20260719-065</v>
      </c>
      <c r="B69" s="19">
        <f t="shared" si="3"/>
        <v>46222</v>
      </c>
      <c r="C69" s="20" t="s">
        <v>90</v>
      </c>
      <c r="D69" s="21"/>
      <c r="E69" s="22"/>
      <c r="F69" s="23"/>
      <c r="G69" s="24"/>
      <c r="H69" s="25"/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20260719-066</v>
      </c>
      <c r="B70" s="19">
        <f t="shared" ref="B70:B80" si="5">$B$5</f>
        <v>46222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20260719-067</v>
      </c>
      <c r="B71" s="19">
        <f t="shared" si="5"/>
        <v>46222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20260719-068</v>
      </c>
      <c r="B72" s="19">
        <f t="shared" si="5"/>
        <v>46222</v>
      </c>
      <c r="C72" s="20" t="s">
        <v>93</v>
      </c>
      <c r="D72" s="31"/>
      <c r="E72" s="22"/>
      <c r="F72" s="23"/>
      <c r="G72" s="24"/>
      <c r="H72" s="25"/>
      <c r="I72" s="26"/>
      <c r="J72" s="27"/>
      <c r="K72" s="28"/>
      <c r="L72" s="15"/>
      <c r="M72" s="16"/>
      <c r="N72" s="15"/>
      <c r="O72" s="16"/>
      <c r="P72" s="17"/>
    </row>
    <row r="73" spans="1:16">
      <c r="A73" s="18" t="str">
        <f t="shared" si="4"/>
        <v>20260719-069</v>
      </c>
      <c r="B73" s="19">
        <f t="shared" si="5"/>
        <v>46222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20260719-070</v>
      </c>
      <c r="B74" s="19">
        <f t="shared" si="5"/>
        <v>46222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/>
      <c r="M74" s="16"/>
      <c r="N74" s="15"/>
      <c r="O74" s="16"/>
    </row>
    <row r="75" spans="1:16">
      <c r="A75" s="18" t="str">
        <f t="shared" si="4"/>
        <v>20260719-071</v>
      </c>
      <c r="B75" s="19">
        <f t="shared" si="5"/>
        <v>46222</v>
      </c>
      <c r="C75" s="20" t="s">
        <v>96</v>
      </c>
      <c r="D75" s="21"/>
      <c r="E75" s="22"/>
      <c r="F75" s="23"/>
      <c r="G75" s="24"/>
      <c r="H75" s="25"/>
      <c r="I75" s="26"/>
      <c r="J75" s="27"/>
      <c r="K75" s="28"/>
      <c r="L75" s="15"/>
      <c r="M75" s="16"/>
      <c r="N75" s="15"/>
      <c r="O75" s="16"/>
      <c r="P75" s="30"/>
    </row>
    <row r="76" spans="1:16">
      <c r="A76" s="18" t="str">
        <f t="shared" si="4"/>
        <v>20260719-072</v>
      </c>
      <c r="B76" s="19">
        <f t="shared" si="5"/>
        <v>46222</v>
      </c>
      <c r="C76" s="20" t="s">
        <v>97</v>
      </c>
      <c r="D76" s="31"/>
      <c r="E76" s="22"/>
      <c r="F76" s="23"/>
      <c r="G76" s="24"/>
      <c r="H76" s="25"/>
      <c r="I76" s="26"/>
      <c r="J76" s="27"/>
      <c r="K76" s="28"/>
      <c r="L76" s="15"/>
      <c r="M76" s="16"/>
      <c r="N76" s="15"/>
      <c r="O76" s="16"/>
    </row>
    <row r="77" spans="1:16">
      <c r="A77" s="18" t="str">
        <f t="shared" si="4"/>
        <v>20260719-073</v>
      </c>
      <c r="B77" s="19">
        <f t="shared" si="5"/>
        <v>46222</v>
      </c>
      <c r="C77" s="20" t="s">
        <v>98</v>
      </c>
      <c r="D77" s="21"/>
      <c r="E77" s="22"/>
      <c r="F77" s="23"/>
      <c r="G77" s="24"/>
      <c r="H77" s="25"/>
      <c r="I77" s="26"/>
      <c r="J77" s="27"/>
      <c r="K77" s="28"/>
      <c r="L77" s="34"/>
      <c r="M77" s="16"/>
      <c r="N77" s="15"/>
      <c r="O77" s="16"/>
      <c r="P77" s="30"/>
    </row>
    <row r="78" spans="1:16">
      <c r="A78" s="18" t="str">
        <f t="shared" si="4"/>
        <v>20260719-074</v>
      </c>
      <c r="B78" s="19">
        <f t="shared" si="5"/>
        <v>46222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20260719-075</v>
      </c>
      <c r="B79" s="19">
        <f t="shared" si="5"/>
        <v>46222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20260719-076</v>
      </c>
      <c r="B80" s="19">
        <f t="shared" si="5"/>
        <v>46222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80"/>
  <sheetViews>
    <sheetView topLeftCell="C64" zoomScaleNormal="100" workbookViewId="0">
      <selection activeCell="C14" sqref="C1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20260720-001</v>
      </c>
      <c r="B5" s="5">
        <v>46223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20260720-002</v>
      </c>
      <c r="B6" s="19">
        <f t="shared" ref="B6:B37" si="1">$B$5</f>
        <v>46223</v>
      </c>
      <c r="C6" s="20" t="s">
        <v>28</v>
      </c>
      <c r="D6" s="21">
        <v>5</v>
      </c>
      <c r="E6" s="22">
        <v>3</v>
      </c>
      <c r="F6" s="23"/>
      <c r="G6" s="24">
        <v>9</v>
      </c>
      <c r="H6" s="25"/>
      <c r="I6" s="26"/>
      <c r="J6" s="27"/>
      <c r="K6" s="28">
        <v>12</v>
      </c>
      <c r="L6" s="15"/>
      <c r="M6" s="29"/>
      <c r="N6" s="15"/>
      <c r="O6" s="29"/>
      <c r="P6" s="30"/>
    </row>
    <row r="7" spans="1:16">
      <c r="A7" s="18" t="str">
        <f t="shared" si="0"/>
        <v>20260720-003</v>
      </c>
      <c r="B7" s="19">
        <f t="shared" si="1"/>
        <v>46223</v>
      </c>
      <c r="C7" s="20" t="s">
        <v>29</v>
      </c>
      <c r="D7" s="31"/>
      <c r="E7" s="22">
        <v>1</v>
      </c>
      <c r="F7" s="23"/>
      <c r="G7" s="24">
        <v>1</v>
      </c>
      <c r="H7" s="25"/>
      <c r="I7" s="26"/>
      <c r="J7" s="27"/>
      <c r="K7" s="28">
        <v>3</v>
      </c>
      <c r="L7" s="15"/>
      <c r="M7" s="29"/>
      <c r="N7" s="15"/>
      <c r="O7" s="29"/>
      <c r="P7" s="32"/>
    </row>
    <row r="8" spans="1:16">
      <c r="A8" s="18" t="str">
        <f t="shared" si="0"/>
        <v>20260720-004</v>
      </c>
      <c r="B8" s="19">
        <f t="shared" si="1"/>
        <v>46223</v>
      </c>
      <c r="C8" s="20" t="s">
        <v>30</v>
      </c>
      <c r="D8" s="21"/>
      <c r="E8" s="22"/>
      <c r="F8" s="23"/>
      <c r="G8" s="24"/>
      <c r="H8" s="25"/>
      <c r="I8" s="26"/>
      <c r="J8" s="27"/>
      <c r="K8" s="28"/>
      <c r="L8" s="15"/>
      <c r="M8" s="16"/>
      <c r="N8" s="15"/>
      <c r="O8" s="16"/>
      <c r="P8" s="30"/>
    </row>
    <row r="9" spans="1:16">
      <c r="A9" s="18" t="str">
        <f t="shared" si="0"/>
        <v>20260720-005</v>
      </c>
      <c r="B9" s="19">
        <f t="shared" si="1"/>
        <v>46223</v>
      </c>
      <c r="C9" s="20" t="s">
        <v>31</v>
      </c>
      <c r="D9" s="31"/>
      <c r="E9" s="22"/>
      <c r="F9" s="23"/>
      <c r="G9" s="24">
        <v>1</v>
      </c>
      <c r="H9" s="25"/>
      <c r="I9" s="26"/>
      <c r="J9" s="27"/>
      <c r="K9" s="28">
        <v>2</v>
      </c>
      <c r="L9" s="15"/>
      <c r="M9" s="29"/>
      <c r="N9" s="15"/>
      <c r="O9" s="29"/>
      <c r="P9" s="17"/>
    </row>
    <row r="10" spans="1:16">
      <c r="A10" s="18" t="str">
        <f t="shared" si="0"/>
        <v>20260720-006</v>
      </c>
      <c r="B10" s="19">
        <f t="shared" si="1"/>
        <v>46223</v>
      </c>
      <c r="C10" s="20" t="s">
        <v>32</v>
      </c>
      <c r="D10" s="21"/>
      <c r="E10" s="22"/>
      <c r="F10" s="23"/>
      <c r="G10" s="24"/>
      <c r="H10" s="25"/>
      <c r="I10" s="26">
        <v>1</v>
      </c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20260720-007</v>
      </c>
      <c r="B11" s="19">
        <f t="shared" si="1"/>
        <v>46223</v>
      </c>
      <c r="C11" s="20" t="s">
        <v>33</v>
      </c>
      <c r="D11" s="31"/>
      <c r="E11" s="22">
        <v>4</v>
      </c>
      <c r="F11" s="23"/>
      <c r="G11" s="24"/>
      <c r="H11" s="25">
        <v>20</v>
      </c>
      <c r="I11" s="26">
        <v>10</v>
      </c>
      <c r="J11" s="27">
        <v>15</v>
      </c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20260720-008</v>
      </c>
      <c r="B12" s="19">
        <f t="shared" si="1"/>
        <v>46223</v>
      </c>
      <c r="C12" s="33" t="s">
        <v>34</v>
      </c>
      <c r="D12" s="21">
        <v>20</v>
      </c>
      <c r="E12" s="22">
        <v>6</v>
      </c>
      <c r="F12" s="23"/>
      <c r="G12" s="24">
        <v>6</v>
      </c>
      <c r="H12" s="25"/>
      <c r="I12" s="26"/>
      <c r="J12" s="27"/>
      <c r="K12" s="28">
        <v>18</v>
      </c>
      <c r="L12" s="15"/>
      <c r="M12" s="16"/>
      <c r="N12" s="15"/>
      <c r="O12" s="16"/>
      <c r="P12" s="30"/>
    </row>
    <row r="13" spans="1:16">
      <c r="A13" s="18" t="str">
        <f t="shared" si="0"/>
        <v>20260720-009</v>
      </c>
      <c r="B13" s="19">
        <f t="shared" si="1"/>
        <v>46223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20260720-010</v>
      </c>
      <c r="B14" s="19">
        <f t="shared" si="1"/>
        <v>46223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20260720-011</v>
      </c>
      <c r="B15" s="19">
        <f t="shared" si="1"/>
        <v>46223</v>
      </c>
      <c r="C15" s="33" t="s">
        <v>36</v>
      </c>
      <c r="D15" s="31"/>
      <c r="E15" s="22"/>
      <c r="F15" s="23"/>
      <c r="G15" s="24"/>
      <c r="H15" s="25"/>
      <c r="I15" s="26"/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20260720-012</v>
      </c>
      <c r="B16" s="19">
        <f t="shared" si="1"/>
        <v>46223</v>
      </c>
      <c r="C16" s="20" t="s">
        <v>37</v>
      </c>
      <c r="D16" s="21"/>
      <c r="E16" s="22"/>
      <c r="F16" s="23"/>
      <c r="G16" s="24"/>
      <c r="H16" s="25">
        <v>2</v>
      </c>
      <c r="I16" s="26">
        <v>3</v>
      </c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20260720-013</v>
      </c>
      <c r="B17" s="19">
        <f t="shared" si="1"/>
        <v>46223</v>
      </c>
      <c r="C17" s="20" t="s">
        <v>38</v>
      </c>
      <c r="D17" s="31"/>
      <c r="E17" s="22">
        <v>4</v>
      </c>
      <c r="F17" s="23"/>
      <c r="G17" s="24">
        <v>1</v>
      </c>
      <c r="H17" s="25"/>
      <c r="I17" s="26"/>
      <c r="J17" s="27"/>
      <c r="K17" s="28">
        <v>2</v>
      </c>
      <c r="L17" s="15"/>
      <c r="M17" s="16"/>
      <c r="N17" s="15"/>
      <c r="O17" s="16"/>
      <c r="P17" s="17"/>
    </row>
    <row r="18" spans="1:16">
      <c r="A18" s="18" t="str">
        <f t="shared" si="0"/>
        <v>20260720-014</v>
      </c>
      <c r="B18" s="19">
        <f t="shared" si="1"/>
        <v>46223</v>
      </c>
      <c r="C18" s="20" t="s">
        <v>39</v>
      </c>
      <c r="D18" s="21"/>
      <c r="E18" s="22"/>
      <c r="F18" s="23"/>
      <c r="G18" s="24"/>
      <c r="H18" s="25">
        <v>1</v>
      </c>
      <c r="I18" s="26">
        <v>1</v>
      </c>
      <c r="J18" s="27">
        <v>1</v>
      </c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20260720-015</v>
      </c>
      <c r="B19" s="19">
        <f t="shared" si="1"/>
        <v>46223</v>
      </c>
      <c r="C19" s="20" t="s">
        <v>40</v>
      </c>
      <c r="D19" s="31"/>
      <c r="E19" s="22">
        <v>1</v>
      </c>
      <c r="F19" s="23"/>
      <c r="G19" s="24"/>
      <c r="H19" s="25"/>
      <c r="I19" s="26">
        <v>4</v>
      </c>
      <c r="J19" s="27"/>
      <c r="K19" s="28">
        <v>1</v>
      </c>
      <c r="L19" s="15"/>
      <c r="M19" s="16"/>
      <c r="N19" s="15"/>
      <c r="O19" s="16"/>
      <c r="P19" s="17"/>
    </row>
    <row r="20" spans="1:16">
      <c r="A20" s="18" t="str">
        <f t="shared" si="0"/>
        <v>20260720-016</v>
      </c>
      <c r="B20" s="19">
        <f t="shared" si="1"/>
        <v>46223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20260720-017</v>
      </c>
      <c r="B21" s="19">
        <f t="shared" si="1"/>
        <v>46223</v>
      </c>
      <c r="C21" s="20" t="s">
        <v>42</v>
      </c>
      <c r="D21" s="31"/>
      <c r="E21" s="22">
        <v>1</v>
      </c>
      <c r="F21" s="23"/>
      <c r="G21" s="24"/>
      <c r="H21" s="25"/>
      <c r="I21" s="26"/>
      <c r="J21" s="27"/>
      <c r="K21" s="28">
        <v>4</v>
      </c>
      <c r="L21" s="15"/>
      <c r="M21" s="16"/>
      <c r="N21" s="15"/>
      <c r="O21" s="16"/>
      <c r="P21" s="17"/>
    </row>
    <row r="22" spans="1:16">
      <c r="A22" s="18" t="str">
        <f t="shared" si="0"/>
        <v>20260720-018</v>
      </c>
      <c r="B22" s="19">
        <f t="shared" si="1"/>
        <v>46223</v>
      </c>
      <c r="C22" s="20" t="s">
        <v>43</v>
      </c>
      <c r="D22" s="21"/>
      <c r="E22" s="22"/>
      <c r="F22" s="23"/>
      <c r="G22" s="24"/>
      <c r="H22" s="25">
        <v>4</v>
      </c>
      <c r="I22" s="26">
        <v>1</v>
      </c>
      <c r="J22" s="27"/>
      <c r="K22" s="28"/>
      <c r="L22" s="15"/>
      <c r="M22" s="16"/>
      <c r="N22" s="15"/>
      <c r="O22" s="16"/>
      <c r="P22" s="30"/>
    </row>
    <row r="23" spans="1:16">
      <c r="A23" s="18" t="str">
        <f t="shared" si="0"/>
        <v>20260720-019</v>
      </c>
      <c r="B23" s="19">
        <f t="shared" si="1"/>
        <v>46223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20260720-020</v>
      </c>
      <c r="B24" s="19">
        <f t="shared" si="1"/>
        <v>46223</v>
      </c>
      <c r="C24" s="20" t="s">
        <v>45</v>
      </c>
      <c r="D24" s="21"/>
      <c r="E24" s="22"/>
      <c r="F24" s="23"/>
      <c r="G24" s="24"/>
      <c r="H24" s="25"/>
      <c r="I24" s="26"/>
      <c r="J24" s="27"/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20260720-021</v>
      </c>
      <c r="B25" s="19">
        <f t="shared" si="1"/>
        <v>46223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20260720-022</v>
      </c>
      <c r="B26" s="19">
        <f t="shared" si="1"/>
        <v>46223</v>
      </c>
      <c r="C26" s="20" t="s">
        <v>47</v>
      </c>
      <c r="D26" s="21"/>
      <c r="E26" s="22"/>
      <c r="F26" s="23"/>
      <c r="G26" s="24"/>
      <c r="H26" s="25"/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20260720-023</v>
      </c>
      <c r="B27" s="19">
        <f t="shared" si="1"/>
        <v>46223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20260720-024</v>
      </c>
      <c r="B28" s="19">
        <f t="shared" si="1"/>
        <v>46223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20260720-025</v>
      </c>
      <c r="B29" s="19">
        <f t="shared" si="1"/>
        <v>46223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20260720-026</v>
      </c>
      <c r="B30" s="19">
        <f t="shared" si="1"/>
        <v>46223</v>
      </c>
      <c r="C30" s="20" t="s">
        <v>51</v>
      </c>
      <c r="D30" s="21"/>
      <c r="E30" s="22"/>
      <c r="F30" s="23"/>
      <c r="G30" s="24"/>
      <c r="H30" s="25"/>
      <c r="I30" s="26"/>
      <c r="J30" s="27"/>
      <c r="K30" s="28"/>
      <c r="L30" s="15"/>
      <c r="M30" s="16"/>
      <c r="N30" s="15"/>
      <c r="O30" s="16"/>
      <c r="P30" s="30"/>
    </row>
    <row r="31" spans="1:16">
      <c r="A31" s="18" t="str">
        <f t="shared" si="0"/>
        <v>20260720-027</v>
      </c>
      <c r="B31" s="19">
        <f t="shared" si="1"/>
        <v>46223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20260720-028</v>
      </c>
      <c r="B32" s="19">
        <f t="shared" si="1"/>
        <v>46223</v>
      </c>
      <c r="C32" s="20" t="s">
        <v>53</v>
      </c>
      <c r="D32" s="21"/>
      <c r="E32" s="22"/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20260720-029</v>
      </c>
      <c r="B33" s="19">
        <f t="shared" si="1"/>
        <v>46223</v>
      </c>
      <c r="C33" s="20" t="s">
        <v>54</v>
      </c>
      <c r="D33" s="31"/>
      <c r="E33" s="22"/>
      <c r="F33" s="23"/>
      <c r="G33" s="24">
        <v>3</v>
      </c>
      <c r="H33" s="25"/>
      <c r="I33" s="26">
        <v>1</v>
      </c>
      <c r="J33" s="27"/>
      <c r="K33" s="28">
        <v>5</v>
      </c>
      <c r="L33" s="15"/>
      <c r="M33" s="16"/>
      <c r="N33" s="15"/>
      <c r="O33" s="16"/>
      <c r="P33" s="17"/>
    </row>
    <row r="34" spans="1:16">
      <c r="A34" s="18" t="str">
        <f t="shared" si="0"/>
        <v>20260720-030</v>
      </c>
      <c r="B34" s="19">
        <f t="shared" si="1"/>
        <v>46223</v>
      </c>
      <c r="C34" s="20" t="s">
        <v>55</v>
      </c>
      <c r="D34" s="21"/>
      <c r="E34" s="22">
        <v>1</v>
      </c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20260720-031</v>
      </c>
      <c r="B35" s="19">
        <f t="shared" si="1"/>
        <v>46223</v>
      </c>
      <c r="C35" s="20" t="s">
        <v>56</v>
      </c>
      <c r="D35" s="31"/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20260720-032</v>
      </c>
      <c r="B36" s="19">
        <f t="shared" si="1"/>
        <v>46223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20260720-033</v>
      </c>
      <c r="B37" s="19">
        <f t="shared" si="1"/>
        <v>46223</v>
      </c>
      <c r="C37" s="20" t="s">
        <v>58</v>
      </c>
      <c r="D37" s="31">
        <v>20</v>
      </c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20260720-034</v>
      </c>
      <c r="B38" s="19">
        <f t="shared" ref="B38:B69" si="3">$B$5</f>
        <v>46223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20260720-035</v>
      </c>
      <c r="B39" s="19">
        <f t="shared" si="3"/>
        <v>46223</v>
      </c>
      <c r="C39" s="20" t="s">
        <v>60</v>
      </c>
      <c r="D39" s="31"/>
      <c r="E39" s="22"/>
      <c r="F39" s="23"/>
      <c r="G39" s="24"/>
      <c r="H39" s="25"/>
      <c r="I39" s="26"/>
      <c r="J39" s="27"/>
      <c r="K39" s="28"/>
      <c r="L39" s="15"/>
      <c r="M39" s="16"/>
      <c r="N39" s="15"/>
      <c r="O39" s="16"/>
      <c r="P39" s="17"/>
    </row>
    <row r="40" spans="1:16">
      <c r="A40" s="18" t="str">
        <f t="shared" si="2"/>
        <v>20260720-036</v>
      </c>
      <c r="B40" s="19">
        <f t="shared" si="3"/>
        <v>46223</v>
      </c>
      <c r="C40" s="20" t="s">
        <v>61</v>
      </c>
      <c r="D40" s="21"/>
      <c r="E40" s="22"/>
      <c r="F40" s="23"/>
      <c r="G40" s="24"/>
      <c r="H40" s="25"/>
      <c r="I40" s="26"/>
      <c r="J40" s="27"/>
      <c r="K40" s="28"/>
      <c r="L40" s="15"/>
      <c r="M40" s="16"/>
      <c r="N40" s="15"/>
      <c r="O40" s="16"/>
      <c r="P40" s="30"/>
    </row>
    <row r="41" spans="1:16">
      <c r="A41" s="18" t="str">
        <f t="shared" si="2"/>
        <v>20260720-037</v>
      </c>
      <c r="B41" s="19">
        <f t="shared" si="3"/>
        <v>46223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20260720-038</v>
      </c>
      <c r="B42" s="19">
        <f t="shared" si="3"/>
        <v>46223</v>
      </c>
      <c r="C42" s="20" t="s">
        <v>63</v>
      </c>
      <c r="D42" s="21"/>
      <c r="E42" s="22">
        <v>2</v>
      </c>
      <c r="F42" s="23"/>
      <c r="G42" s="24"/>
      <c r="H42" s="25"/>
      <c r="I42" s="26"/>
      <c r="J42" s="27"/>
      <c r="K42" s="28">
        <v>2</v>
      </c>
      <c r="L42" s="15"/>
      <c r="M42" s="16"/>
      <c r="N42" s="15"/>
      <c r="O42" s="16"/>
      <c r="P42" s="30"/>
    </row>
    <row r="43" spans="1:16">
      <c r="A43" s="18" t="str">
        <f t="shared" si="2"/>
        <v>20260720-039</v>
      </c>
      <c r="B43" s="19">
        <f t="shared" si="3"/>
        <v>46223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20260720-040</v>
      </c>
      <c r="B44" s="19">
        <f t="shared" si="3"/>
        <v>46223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20260720-041</v>
      </c>
      <c r="B45" s="19">
        <f t="shared" si="3"/>
        <v>46223</v>
      </c>
      <c r="C45" s="20" t="s">
        <v>66</v>
      </c>
      <c r="D45" s="31"/>
      <c r="E45" s="22"/>
      <c r="F45" s="23"/>
      <c r="G45" s="24">
        <v>1</v>
      </c>
      <c r="H45" s="25"/>
      <c r="I45" s="26"/>
      <c r="J45" s="27"/>
      <c r="K45" s="28">
        <v>1</v>
      </c>
      <c r="L45" s="15"/>
      <c r="M45" s="16"/>
      <c r="N45" s="15"/>
      <c r="O45" s="16"/>
      <c r="P45" s="17"/>
    </row>
    <row r="46" spans="1:16">
      <c r="A46" s="18" t="str">
        <f t="shared" si="2"/>
        <v>20260720-042</v>
      </c>
      <c r="B46" s="19">
        <f t="shared" si="3"/>
        <v>46223</v>
      </c>
      <c r="C46" s="20" t="s">
        <v>67</v>
      </c>
      <c r="D46" s="21"/>
      <c r="E46" s="22"/>
      <c r="F46" s="23"/>
      <c r="G46" s="24">
        <v>1</v>
      </c>
      <c r="H46" s="25"/>
      <c r="I46" s="26"/>
      <c r="J46" s="27"/>
      <c r="K46" s="28">
        <v>1</v>
      </c>
      <c r="L46" s="15"/>
      <c r="M46" s="16"/>
      <c r="N46" s="15"/>
      <c r="O46" s="16"/>
      <c r="P46" s="30"/>
    </row>
    <row r="47" spans="1:16">
      <c r="A47" s="18" t="str">
        <f t="shared" si="2"/>
        <v>20260720-043</v>
      </c>
      <c r="B47" s="19">
        <f t="shared" si="3"/>
        <v>46223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20260720-044</v>
      </c>
      <c r="B48" s="19">
        <f t="shared" si="3"/>
        <v>46223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20260720-045</v>
      </c>
      <c r="B49" s="19">
        <f t="shared" si="3"/>
        <v>46223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20260720-046</v>
      </c>
      <c r="B50" s="19">
        <f t="shared" si="3"/>
        <v>46223</v>
      </c>
      <c r="C50" s="20" t="s">
        <v>71</v>
      </c>
      <c r="D50" s="21"/>
      <c r="E50" s="22">
        <v>1</v>
      </c>
      <c r="F50" s="23"/>
      <c r="G50" s="24"/>
      <c r="H50" s="25"/>
      <c r="I50" s="26"/>
      <c r="J50" s="27"/>
      <c r="K50" s="28">
        <v>1</v>
      </c>
      <c r="L50" s="15"/>
      <c r="M50" s="16"/>
      <c r="N50" s="15"/>
      <c r="O50" s="16"/>
      <c r="P50" s="30"/>
    </row>
    <row r="51" spans="1:16">
      <c r="A51" s="18" t="str">
        <f t="shared" si="2"/>
        <v>20260720-047</v>
      </c>
      <c r="B51" s="19">
        <f t="shared" si="3"/>
        <v>46223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20260720-048</v>
      </c>
      <c r="B52" s="19">
        <f t="shared" si="3"/>
        <v>46223</v>
      </c>
      <c r="C52" s="20" t="s">
        <v>73</v>
      </c>
      <c r="D52" s="21"/>
      <c r="E52" s="22"/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20260720-049</v>
      </c>
      <c r="B53" s="19">
        <f t="shared" si="3"/>
        <v>46223</v>
      </c>
      <c r="C53" s="20" t="s">
        <v>74</v>
      </c>
      <c r="D53" s="31"/>
      <c r="E53" s="22"/>
      <c r="F53" s="23"/>
      <c r="G53" s="24"/>
      <c r="H53" s="25"/>
      <c r="I53" s="26">
        <v>5</v>
      </c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20260720-050</v>
      </c>
      <c r="B54" s="19">
        <f t="shared" si="3"/>
        <v>46223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20260720-051</v>
      </c>
      <c r="B55" s="19">
        <f t="shared" si="3"/>
        <v>46223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20260720-052</v>
      </c>
      <c r="B56" s="19">
        <f t="shared" si="3"/>
        <v>46223</v>
      </c>
      <c r="C56" s="20" t="s">
        <v>77</v>
      </c>
      <c r="D56" s="31"/>
      <c r="E56" s="22">
        <v>1</v>
      </c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20260720-053</v>
      </c>
      <c r="B57" s="19">
        <f t="shared" si="3"/>
        <v>46223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20260720-054</v>
      </c>
      <c r="B58" s="19">
        <f t="shared" si="3"/>
        <v>46223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20260720-055</v>
      </c>
      <c r="B59" s="19">
        <f t="shared" si="3"/>
        <v>46223</v>
      </c>
      <c r="C59" s="20" t="s">
        <v>80</v>
      </c>
      <c r="D59" s="31"/>
      <c r="E59" s="22">
        <v>1</v>
      </c>
      <c r="F59" s="23"/>
      <c r="G59" s="24"/>
      <c r="H59" s="25"/>
      <c r="I59" s="26"/>
      <c r="J59" s="27"/>
      <c r="K59" s="28">
        <v>1</v>
      </c>
      <c r="L59" s="15"/>
      <c r="M59" s="16"/>
      <c r="N59" s="15"/>
      <c r="O59" s="16"/>
      <c r="P59" s="17"/>
    </row>
    <row r="60" spans="1:16">
      <c r="A60" s="18" t="str">
        <f t="shared" si="2"/>
        <v>20260720-056</v>
      </c>
      <c r="B60" s="19">
        <f t="shared" si="3"/>
        <v>46223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20260720-057</v>
      </c>
      <c r="B61" s="19">
        <f t="shared" si="3"/>
        <v>46223</v>
      </c>
      <c r="C61" s="20" t="s">
        <v>82</v>
      </c>
      <c r="D61" s="21"/>
      <c r="E61" s="22">
        <v>1</v>
      </c>
      <c r="F61" s="23"/>
      <c r="G61" s="24">
        <v>1</v>
      </c>
      <c r="H61" s="25"/>
      <c r="I61" s="26"/>
      <c r="J61" s="27">
        <v>5</v>
      </c>
      <c r="K61" s="28">
        <v>2</v>
      </c>
      <c r="L61" s="15"/>
      <c r="M61" s="16"/>
      <c r="N61" s="15"/>
      <c r="O61" s="16"/>
      <c r="P61" s="30"/>
    </row>
    <row r="62" spans="1:16">
      <c r="A62" s="18" t="str">
        <f t="shared" si="2"/>
        <v>20260720-058</v>
      </c>
      <c r="B62" s="19">
        <f t="shared" si="3"/>
        <v>46223</v>
      </c>
      <c r="C62" s="20" t="s">
        <v>83</v>
      </c>
      <c r="D62" s="31"/>
      <c r="E62" s="22"/>
      <c r="F62" s="23"/>
      <c r="G62" s="24"/>
      <c r="H62" s="25">
        <v>7</v>
      </c>
      <c r="I62" s="26"/>
      <c r="J62" s="27">
        <v>3</v>
      </c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20260720-059</v>
      </c>
      <c r="B63" s="19">
        <f t="shared" si="3"/>
        <v>46223</v>
      </c>
      <c r="C63" s="20" t="s">
        <v>84</v>
      </c>
      <c r="D63" s="21">
        <v>10</v>
      </c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20260720-060</v>
      </c>
      <c r="B64" s="19">
        <f t="shared" si="3"/>
        <v>46223</v>
      </c>
      <c r="C64" s="20" t="s">
        <v>85</v>
      </c>
      <c r="D64" s="31">
        <v>10</v>
      </c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20260720-061</v>
      </c>
      <c r="B65" s="19">
        <f t="shared" si="3"/>
        <v>46223</v>
      </c>
      <c r="C65" s="20" t="s">
        <v>86</v>
      </c>
      <c r="D65" s="21">
        <v>20</v>
      </c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20260720-062</v>
      </c>
      <c r="B66" s="19">
        <f t="shared" si="3"/>
        <v>46223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20260720-063</v>
      </c>
      <c r="B67" s="19">
        <f t="shared" si="3"/>
        <v>46223</v>
      </c>
      <c r="C67" s="20" t="s">
        <v>88</v>
      </c>
      <c r="D67" s="21"/>
      <c r="E67" s="22"/>
      <c r="F67" s="23"/>
      <c r="G67" s="24"/>
      <c r="H67" s="25">
        <v>8</v>
      </c>
      <c r="I67" s="26">
        <v>9</v>
      </c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20260720-064</v>
      </c>
      <c r="B68" s="19">
        <f t="shared" si="3"/>
        <v>46223</v>
      </c>
      <c r="C68" s="20" t="s">
        <v>89</v>
      </c>
      <c r="D68" s="31"/>
      <c r="E68" s="22">
        <v>3</v>
      </c>
      <c r="F68" s="23"/>
      <c r="G68" s="24"/>
      <c r="H68" s="25"/>
      <c r="I68" s="26"/>
      <c r="J68" s="27"/>
      <c r="K68" s="28">
        <v>4</v>
      </c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20260720-065</v>
      </c>
      <c r="B69" s="19">
        <f t="shared" si="3"/>
        <v>46223</v>
      </c>
      <c r="C69" s="20" t="s">
        <v>90</v>
      </c>
      <c r="D69" s="21"/>
      <c r="E69" s="22"/>
      <c r="F69" s="23"/>
      <c r="G69" s="24"/>
      <c r="H69" s="25">
        <v>2</v>
      </c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20260720-066</v>
      </c>
      <c r="B70" s="19">
        <f t="shared" ref="B70:B80" si="5">$B$5</f>
        <v>46223</v>
      </c>
      <c r="C70" s="20" t="s">
        <v>91</v>
      </c>
      <c r="D70" s="31"/>
      <c r="E70" s="22"/>
      <c r="F70" s="23"/>
      <c r="G70" s="24"/>
      <c r="H70" s="25"/>
      <c r="I70" s="26"/>
      <c r="J70" s="27">
        <v>1</v>
      </c>
      <c r="K70" s="28">
        <v>1</v>
      </c>
      <c r="L70" s="15"/>
      <c r="M70" s="16"/>
      <c r="N70" s="15"/>
      <c r="O70" s="16"/>
      <c r="P70" s="17"/>
    </row>
    <row r="71" spans="1:16">
      <c r="A71" s="18" t="str">
        <f t="shared" si="4"/>
        <v>20260720-067</v>
      </c>
      <c r="B71" s="19">
        <f t="shared" si="5"/>
        <v>46223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20260720-068</v>
      </c>
      <c r="B72" s="19">
        <f t="shared" si="5"/>
        <v>46223</v>
      </c>
      <c r="C72" s="20" t="s">
        <v>93</v>
      </c>
      <c r="D72" s="31"/>
      <c r="E72" s="22">
        <v>1</v>
      </c>
      <c r="F72" s="23"/>
      <c r="G72" s="24"/>
      <c r="H72" s="25"/>
      <c r="I72" s="26"/>
      <c r="J72" s="27"/>
      <c r="K72" s="28">
        <v>2</v>
      </c>
      <c r="L72" s="15"/>
      <c r="M72" s="16"/>
      <c r="N72" s="15"/>
      <c r="O72" s="16"/>
      <c r="P72" s="17"/>
    </row>
    <row r="73" spans="1:16">
      <c r="A73" s="18" t="str">
        <f t="shared" si="4"/>
        <v>20260720-069</v>
      </c>
      <c r="B73" s="19">
        <f t="shared" si="5"/>
        <v>46223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20260720-070</v>
      </c>
      <c r="B74" s="19">
        <f t="shared" si="5"/>
        <v>46223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1</v>
      </c>
      <c r="M74" s="16"/>
      <c r="N74" s="15"/>
      <c r="O74" s="16"/>
    </row>
    <row r="75" spans="1:16">
      <c r="A75" s="18" t="str">
        <f t="shared" si="4"/>
        <v>20260720-071</v>
      </c>
      <c r="B75" s="19">
        <f t="shared" si="5"/>
        <v>46223</v>
      </c>
      <c r="C75" s="20" t="s">
        <v>96</v>
      </c>
      <c r="D75" s="21"/>
      <c r="E75" s="22"/>
      <c r="F75" s="23"/>
      <c r="G75" s="24">
        <v>2</v>
      </c>
      <c r="H75" s="25"/>
      <c r="I75" s="26"/>
      <c r="J75" s="27"/>
      <c r="K75" s="28">
        <v>3</v>
      </c>
      <c r="L75" s="15"/>
      <c r="M75" s="16"/>
      <c r="N75" s="15"/>
      <c r="O75" s="16"/>
      <c r="P75" s="30"/>
    </row>
    <row r="76" spans="1:16">
      <c r="A76" s="18" t="str">
        <f t="shared" si="4"/>
        <v>20260720-072</v>
      </c>
      <c r="B76" s="19">
        <f t="shared" si="5"/>
        <v>46223</v>
      </c>
      <c r="C76" s="20" t="s">
        <v>97</v>
      </c>
      <c r="D76" s="31"/>
      <c r="E76" s="22"/>
      <c r="F76" s="23"/>
      <c r="G76" s="24"/>
      <c r="H76" s="25"/>
      <c r="I76" s="26"/>
      <c r="J76" s="27"/>
      <c r="K76" s="28"/>
      <c r="L76" s="15"/>
      <c r="M76" s="16"/>
      <c r="N76" s="15"/>
      <c r="O76" s="16"/>
    </row>
    <row r="77" spans="1:16">
      <c r="A77" s="18" t="str">
        <f t="shared" si="4"/>
        <v>20260720-073</v>
      </c>
      <c r="B77" s="19">
        <f t="shared" si="5"/>
        <v>46223</v>
      </c>
      <c r="C77" s="20" t="s">
        <v>98</v>
      </c>
      <c r="D77" s="21"/>
      <c r="E77" s="22"/>
      <c r="F77" s="23"/>
      <c r="G77" s="24">
        <v>1</v>
      </c>
      <c r="H77" s="25"/>
      <c r="I77" s="26"/>
      <c r="J77" s="27"/>
      <c r="K77" s="28"/>
      <c r="L77" s="34">
        <v>1</v>
      </c>
      <c r="M77" s="16"/>
      <c r="N77" s="15"/>
      <c r="O77" s="16"/>
      <c r="P77" s="30"/>
    </row>
    <row r="78" spans="1:16">
      <c r="A78" s="18" t="str">
        <f t="shared" si="4"/>
        <v>20260720-074</v>
      </c>
      <c r="B78" s="19">
        <f t="shared" si="5"/>
        <v>46223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20260720-075</v>
      </c>
      <c r="B79" s="19">
        <f t="shared" si="5"/>
        <v>46223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20260720-076</v>
      </c>
      <c r="B80" s="19">
        <f t="shared" si="5"/>
        <v>46223</v>
      </c>
      <c r="C80" s="20" t="s">
        <v>101</v>
      </c>
      <c r="D80" s="31"/>
      <c r="E80" s="22">
        <v>16</v>
      </c>
      <c r="F80" s="23"/>
      <c r="G80" s="24">
        <v>3</v>
      </c>
      <c r="H80" s="25"/>
      <c r="I80" s="26"/>
      <c r="J80" s="27"/>
      <c r="K80" s="28">
        <v>18</v>
      </c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80"/>
  <sheetViews>
    <sheetView topLeftCell="C1" workbookViewId="0">
      <selection activeCell="C14" sqref="C1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20260721-001</v>
      </c>
      <c r="B5" s="5">
        <v>46224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20260721-002</v>
      </c>
      <c r="B6" s="19">
        <f t="shared" ref="B6:B37" si="1">$B$5</f>
        <v>46224</v>
      </c>
      <c r="C6" s="20" t="s">
        <v>28</v>
      </c>
      <c r="D6" s="21">
        <v>10</v>
      </c>
      <c r="E6" s="22">
        <v>3</v>
      </c>
      <c r="F6" s="23"/>
      <c r="G6" s="24">
        <v>8</v>
      </c>
      <c r="H6" s="25"/>
      <c r="I6" s="26"/>
      <c r="J6" s="27"/>
      <c r="K6" s="28">
        <v>11</v>
      </c>
      <c r="L6" s="15"/>
      <c r="M6" s="29"/>
      <c r="N6" s="15"/>
      <c r="O6" s="29"/>
      <c r="P6" s="30"/>
    </row>
    <row r="7" spans="1:16">
      <c r="A7" s="18" t="str">
        <f t="shared" si="0"/>
        <v>20260721-003</v>
      </c>
      <c r="B7" s="19">
        <f t="shared" si="1"/>
        <v>46224</v>
      </c>
      <c r="C7" s="20" t="s">
        <v>29</v>
      </c>
      <c r="D7" s="31"/>
      <c r="E7" s="22"/>
      <c r="F7" s="23"/>
      <c r="G7" s="24"/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20260721-004</v>
      </c>
      <c r="B8" s="19">
        <f t="shared" si="1"/>
        <v>46224</v>
      </c>
      <c r="C8" s="20" t="s">
        <v>30</v>
      </c>
      <c r="D8" s="21"/>
      <c r="E8" s="22">
        <v>3</v>
      </c>
      <c r="F8" s="23"/>
      <c r="G8" s="24"/>
      <c r="H8" s="25"/>
      <c r="I8" s="26"/>
      <c r="J8" s="27"/>
      <c r="K8" s="28">
        <v>4</v>
      </c>
      <c r="L8" s="15"/>
      <c r="M8" s="16"/>
      <c r="N8" s="15"/>
      <c r="O8" s="16"/>
      <c r="P8" s="30"/>
    </row>
    <row r="9" spans="1:16">
      <c r="A9" s="18" t="str">
        <f t="shared" si="0"/>
        <v>20260721-005</v>
      </c>
      <c r="B9" s="19">
        <f t="shared" si="1"/>
        <v>46224</v>
      </c>
      <c r="C9" s="20" t="s">
        <v>31</v>
      </c>
      <c r="D9" s="31"/>
      <c r="E9" s="22"/>
      <c r="F9" s="23"/>
      <c r="G9" s="24"/>
      <c r="H9" s="25"/>
      <c r="I9" s="26"/>
      <c r="J9" s="27"/>
      <c r="K9" s="28"/>
      <c r="L9" s="15"/>
      <c r="M9" s="29"/>
      <c r="N9" s="15"/>
      <c r="O9" s="29"/>
      <c r="P9" s="17"/>
    </row>
    <row r="10" spans="1:16">
      <c r="A10" s="18" t="str">
        <f t="shared" si="0"/>
        <v>20260721-006</v>
      </c>
      <c r="B10" s="19">
        <f t="shared" si="1"/>
        <v>46224</v>
      </c>
      <c r="C10" s="20" t="s">
        <v>32</v>
      </c>
      <c r="D10" s="21"/>
      <c r="E10" s="22"/>
      <c r="F10" s="23"/>
      <c r="G10" s="24"/>
      <c r="H10" s="25"/>
      <c r="I10" s="26"/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20260721-007</v>
      </c>
      <c r="B11" s="19">
        <f t="shared" si="1"/>
        <v>46224</v>
      </c>
      <c r="C11" s="20" t="s">
        <v>33</v>
      </c>
      <c r="D11" s="31"/>
      <c r="E11" s="22"/>
      <c r="F11" s="23"/>
      <c r="G11" s="24"/>
      <c r="H11" s="25">
        <v>20</v>
      </c>
      <c r="I11" s="26">
        <v>20</v>
      </c>
      <c r="J11" s="27"/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20260721-008</v>
      </c>
      <c r="B12" s="19">
        <f t="shared" si="1"/>
        <v>46224</v>
      </c>
      <c r="C12" s="33" t="s">
        <v>34</v>
      </c>
      <c r="D12" s="21"/>
      <c r="E12" s="22">
        <v>10</v>
      </c>
      <c r="F12" s="23"/>
      <c r="G12" s="24">
        <v>13</v>
      </c>
      <c r="H12" s="25"/>
      <c r="I12" s="26"/>
      <c r="J12" s="27"/>
      <c r="K12" s="28">
        <v>18</v>
      </c>
      <c r="L12" s="15"/>
      <c r="M12" s="16"/>
      <c r="N12" s="15"/>
      <c r="O12" s="16"/>
      <c r="P12" s="30"/>
    </row>
    <row r="13" spans="1:16">
      <c r="A13" s="18" t="str">
        <f t="shared" si="0"/>
        <v>20260721-009</v>
      </c>
      <c r="B13" s="19">
        <f t="shared" si="1"/>
        <v>46224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20260721-010</v>
      </c>
      <c r="B14" s="19">
        <f t="shared" si="1"/>
        <v>46224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20260721-011</v>
      </c>
      <c r="B15" s="19">
        <f t="shared" si="1"/>
        <v>46224</v>
      </c>
      <c r="C15" s="33" t="s">
        <v>36</v>
      </c>
      <c r="D15" s="31"/>
      <c r="E15" s="22"/>
      <c r="F15" s="23"/>
      <c r="G15" s="24"/>
      <c r="H15" s="25">
        <v>17</v>
      </c>
      <c r="I15" s="26">
        <v>8</v>
      </c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20260721-012</v>
      </c>
      <c r="B16" s="19">
        <f t="shared" si="1"/>
        <v>46224</v>
      </c>
      <c r="C16" s="20" t="s">
        <v>37</v>
      </c>
      <c r="D16" s="21"/>
      <c r="E16" s="22"/>
      <c r="F16" s="23"/>
      <c r="G16" s="24"/>
      <c r="H16" s="25">
        <v>5</v>
      </c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20260721-013</v>
      </c>
      <c r="B17" s="19">
        <f t="shared" si="1"/>
        <v>46224</v>
      </c>
      <c r="C17" s="20" t="s">
        <v>38</v>
      </c>
      <c r="D17" s="31"/>
      <c r="E17" s="22">
        <v>1</v>
      </c>
      <c r="F17" s="23"/>
      <c r="G17" s="24">
        <v>1</v>
      </c>
      <c r="H17" s="25">
        <v>1</v>
      </c>
      <c r="I17" s="26"/>
      <c r="J17" s="27">
        <v>2</v>
      </c>
      <c r="K17" s="28">
        <v>2</v>
      </c>
      <c r="L17" s="15"/>
      <c r="M17" s="16"/>
      <c r="N17" s="15"/>
      <c r="O17" s="16"/>
      <c r="P17" s="17"/>
    </row>
    <row r="18" spans="1:16">
      <c r="A18" s="18" t="str">
        <f t="shared" si="0"/>
        <v>20260721-014</v>
      </c>
      <c r="B18" s="19">
        <f t="shared" si="1"/>
        <v>46224</v>
      </c>
      <c r="C18" s="20" t="s">
        <v>39</v>
      </c>
      <c r="D18" s="21"/>
      <c r="E18" s="22"/>
      <c r="F18" s="23"/>
      <c r="G18" s="24"/>
      <c r="H18" s="25"/>
      <c r="I18" s="26">
        <v>1</v>
      </c>
      <c r="J18" s="27">
        <v>1</v>
      </c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20260721-015</v>
      </c>
      <c r="B19" s="19">
        <f t="shared" si="1"/>
        <v>46224</v>
      </c>
      <c r="C19" s="20" t="s">
        <v>40</v>
      </c>
      <c r="D19" s="31"/>
      <c r="E19" s="22">
        <v>2</v>
      </c>
      <c r="F19" s="23"/>
      <c r="G19" s="24"/>
      <c r="H19" s="25">
        <v>2</v>
      </c>
      <c r="I19" s="26">
        <v>4</v>
      </c>
      <c r="J19" s="27"/>
      <c r="K19" s="28"/>
      <c r="L19" s="15"/>
      <c r="M19" s="16"/>
      <c r="N19" s="15"/>
      <c r="O19" s="16"/>
      <c r="P19" s="17"/>
    </row>
    <row r="20" spans="1:16">
      <c r="A20" s="18" t="str">
        <f t="shared" si="0"/>
        <v>20260721-016</v>
      </c>
      <c r="B20" s="19">
        <f t="shared" si="1"/>
        <v>46224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20260721-017</v>
      </c>
      <c r="B21" s="19">
        <f t="shared" si="1"/>
        <v>46224</v>
      </c>
      <c r="C21" s="20" t="s">
        <v>42</v>
      </c>
      <c r="D21" s="31"/>
      <c r="E21" s="22">
        <v>1</v>
      </c>
      <c r="F21" s="23"/>
      <c r="G21" s="24"/>
      <c r="H21" s="25"/>
      <c r="I21" s="26"/>
      <c r="J21" s="27"/>
      <c r="K21" s="28">
        <v>1</v>
      </c>
      <c r="L21" s="15"/>
      <c r="M21" s="16"/>
      <c r="N21" s="15"/>
      <c r="O21" s="16"/>
      <c r="P21" s="17"/>
    </row>
    <row r="22" spans="1:16">
      <c r="A22" s="18" t="str">
        <f t="shared" si="0"/>
        <v>20260721-018</v>
      </c>
      <c r="B22" s="19">
        <f t="shared" si="1"/>
        <v>46224</v>
      </c>
      <c r="C22" s="20" t="s">
        <v>43</v>
      </c>
      <c r="D22" s="21"/>
      <c r="E22" s="22">
        <v>2</v>
      </c>
      <c r="F22" s="23"/>
      <c r="G22" s="24"/>
      <c r="H22" s="25">
        <v>2</v>
      </c>
      <c r="I22" s="26">
        <v>4</v>
      </c>
      <c r="J22" s="27"/>
      <c r="K22" s="28">
        <v>1</v>
      </c>
      <c r="L22" s="15"/>
      <c r="M22" s="16"/>
      <c r="N22" s="15"/>
      <c r="O22" s="16"/>
      <c r="P22" s="30"/>
    </row>
    <row r="23" spans="1:16">
      <c r="A23" s="18" t="str">
        <f t="shared" si="0"/>
        <v>20260721-019</v>
      </c>
      <c r="B23" s="19">
        <f t="shared" si="1"/>
        <v>46224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20260721-020</v>
      </c>
      <c r="B24" s="19">
        <f t="shared" si="1"/>
        <v>46224</v>
      </c>
      <c r="C24" s="20" t="s">
        <v>45</v>
      </c>
      <c r="D24" s="21">
        <v>15</v>
      </c>
      <c r="E24" s="22"/>
      <c r="F24" s="23"/>
      <c r="G24" s="24"/>
      <c r="H24" s="25"/>
      <c r="I24" s="26"/>
      <c r="J24" s="27">
        <v>2</v>
      </c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20260721-021</v>
      </c>
      <c r="B25" s="19">
        <f t="shared" si="1"/>
        <v>46224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20260721-022</v>
      </c>
      <c r="B26" s="19">
        <f t="shared" si="1"/>
        <v>46224</v>
      </c>
      <c r="C26" s="20" t="s">
        <v>47</v>
      </c>
      <c r="D26" s="21"/>
      <c r="E26" s="22"/>
      <c r="F26" s="23"/>
      <c r="G26" s="24"/>
      <c r="H26" s="25">
        <v>10</v>
      </c>
      <c r="I26" s="26">
        <v>4</v>
      </c>
      <c r="J26" s="27">
        <v>1</v>
      </c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20260721-023</v>
      </c>
      <c r="B27" s="19">
        <f t="shared" si="1"/>
        <v>46224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20260721-024</v>
      </c>
      <c r="B28" s="19">
        <f t="shared" si="1"/>
        <v>46224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20260721-025</v>
      </c>
      <c r="B29" s="19">
        <f t="shared" si="1"/>
        <v>46224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20260721-026</v>
      </c>
      <c r="B30" s="19">
        <f t="shared" si="1"/>
        <v>46224</v>
      </c>
      <c r="C30" s="20" t="s">
        <v>51</v>
      </c>
      <c r="D30" s="21"/>
      <c r="E30" s="22">
        <v>2</v>
      </c>
      <c r="F30" s="23"/>
      <c r="G30" s="24">
        <v>2</v>
      </c>
      <c r="H30" s="25"/>
      <c r="I30" s="26"/>
      <c r="J30" s="27"/>
      <c r="K30" s="28">
        <v>5</v>
      </c>
      <c r="L30" s="15"/>
      <c r="M30" s="16"/>
      <c r="N30" s="15"/>
      <c r="O30" s="16"/>
      <c r="P30" s="30"/>
    </row>
    <row r="31" spans="1:16">
      <c r="A31" s="18" t="str">
        <f t="shared" si="0"/>
        <v>20260721-027</v>
      </c>
      <c r="B31" s="19">
        <f t="shared" si="1"/>
        <v>46224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20260721-028</v>
      </c>
      <c r="B32" s="19">
        <f t="shared" si="1"/>
        <v>46224</v>
      </c>
      <c r="C32" s="20" t="s">
        <v>53</v>
      </c>
      <c r="D32" s="21">
        <v>7</v>
      </c>
      <c r="E32" s="22"/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20260721-029</v>
      </c>
      <c r="B33" s="19">
        <f t="shared" si="1"/>
        <v>46224</v>
      </c>
      <c r="C33" s="20" t="s">
        <v>54</v>
      </c>
      <c r="D33" s="31"/>
      <c r="E33" s="22"/>
      <c r="F33" s="23"/>
      <c r="G33" s="24">
        <v>3</v>
      </c>
      <c r="H33" s="25"/>
      <c r="I33" s="26"/>
      <c r="J33" s="27"/>
      <c r="K33" s="28">
        <v>10</v>
      </c>
      <c r="L33" s="15"/>
      <c r="M33" s="16"/>
      <c r="N33" s="15"/>
      <c r="O33" s="16"/>
      <c r="P33" s="17"/>
    </row>
    <row r="34" spans="1:16">
      <c r="A34" s="18" t="str">
        <f t="shared" si="0"/>
        <v>20260721-030</v>
      </c>
      <c r="B34" s="19">
        <f t="shared" si="1"/>
        <v>46224</v>
      </c>
      <c r="C34" s="20" t="s">
        <v>55</v>
      </c>
      <c r="D34" s="21"/>
      <c r="E34" s="22"/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20260721-031</v>
      </c>
      <c r="B35" s="19">
        <f t="shared" si="1"/>
        <v>46224</v>
      </c>
      <c r="C35" s="20" t="s">
        <v>56</v>
      </c>
      <c r="D35" s="31"/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20260721-032</v>
      </c>
      <c r="B36" s="19">
        <f t="shared" si="1"/>
        <v>46224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20260721-033</v>
      </c>
      <c r="B37" s="19">
        <f t="shared" si="1"/>
        <v>46224</v>
      </c>
      <c r="C37" s="20" t="s">
        <v>58</v>
      </c>
      <c r="D37" s="31"/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20260721-034</v>
      </c>
      <c r="B38" s="19">
        <f t="shared" ref="B38:B69" si="3">$B$5</f>
        <v>46224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20260721-035</v>
      </c>
      <c r="B39" s="19">
        <f t="shared" si="3"/>
        <v>46224</v>
      </c>
      <c r="C39" s="20" t="s">
        <v>60</v>
      </c>
      <c r="D39" s="31"/>
      <c r="E39" s="22"/>
      <c r="F39" s="23"/>
      <c r="G39" s="24">
        <v>1</v>
      </c>
      <c r="H39" s="25"/>
      <c r="I39" s="26"/>
      <c r="J39" s="27"/>
      <c r="K39" s="28">
        <v>1</v>
      </c>
      <c r="L39" s="15"/>
      <c r="M39" s="16"/>
      <c r="N39" s="15"/>
      <c r="O39" s="16"/>
      <c r="P39" s="17"/>
    </row>
    <row r="40" spans="1:16">
      <c r="A40" s="18" t="str">
        <f t="shared" si="2"/>
        <v>20260721-036</v>
      </c>
      <c r="B40" s="19">
        <f t="shared" si="3"/>
        <v>46224</v>
      </c>
      <c r="C40" s="20" t="s">
        <v>61</v>
      </c>
      <c r="D40" s="21"/>
      <c r="E40" s="22"/>
      <c r="F40" s="23">
        <v>2</v>
      </c>
      <c r="G40" s="24"/>
      <c r="H40" s="25"/>
      <c r="I40" s="26"/>
      <c r="J40" s="27"/>
      <c r="K40" s="28">
        <v>4</v>
      </c>
      <c r="L40" s="15"/>
      <c r="M40" s="16"/>
      <c r="N40" s="15"/>
      <c r="O40" s="16"/>
      <c r="P40" s="30"/>
    </row>
    <row r="41" spans="1:16">
      <c r="A41" s="18" t="str">
        <f t="shared" si="2"/>
        <v>20260721-037</v>
      </c>
      <c r="B41" s="19">
        <f t="shared" si="3"/>
        <v>46224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20260721-038</v>
      </c>
      <c r="B42" s="19">
        <f t="shared" si="3"/>
        <v>46224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20260721-039</v>
      </c>
      <c r="B43" s="19">
        <f t="shared" si="3"/>
        <v>46224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20260721-040</v>
      </c>
      <c r="B44" s="19">
        <f t="shared" si="3"/>
        <v>46224</v>
      </c>
      <c r="C44" s="20" t="s">
        <v>65</v>
      </c>
      <c r="D44" s="21"/>
      <c r="E44" s="22">
        <v>1</v>
      </c>
      <c r="F44" s="23"/>
      <c r="G44" s="24"/>
      <c r="H44" s="25"/>
      <c r="I44" s="26"/>
      <c r="J44" s="27"/>
      <c r="K44" s="28">
        <v>1</v>
      </c>
      <c r="L44" s="15"/>
      <c r="M44" s="16"/>
      <c r="N44" s="15"/>
      <c r="O44" s="16"/>
      <c r="P44" s="30"/>
    </row>
    <row r="45" spans="1:16">
      <c r="A45" s="18" t="str">
        <f t="shared" si="2"/>
        <v>20260721-041</v>
      </c>
      <c r="B45" s="19">
        <f t="shared" si="3"/>
        <v>46224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20260721-042</v>
      </c>
      <c r="B46" s="19">
        <f t="shared" si="3"/>
        <v>46224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20260721-043</v>
      </c>
      <c r="B47" s="19">
        <f t="shared" si="3"/>
        <v>46224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20260721-044</v>
      </c>
      <c r="B48" s="19">
        <f t="shared" si="3"/>
        <v>46224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20260721-045</v>
      </c>
      <c r="B49" s="19">
        <f t="shared" si="3"/>
        <v>46224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20260721-046</v>
      </c>
      <c r="B50" s="19">
        <f t="shared" si="3"/>
        <v>46224</v>
      </c>
      <c r="C50" s="20" t="s">
        <v>71</v>
      </c>
      <c r="D50" s="21"/>
      <c r="E50" s="22">
        <v>1</v>
      </c>
      <c r="F50" s="23"/>
      <c r="G50" s="24"/>
      <c r="H50" s="25"/>
      <c r="I50" s="26"/>
      <c r="J50" s="27"/>
      <c r="K50" s="28">
        <v>1</v>
      </c>
      <c r="L50" s="15"/>
      <c r="M50" s="16"/>
      <c r="N50" s="15"/>
      <c r="O50" s="16"/>
      <c r="P50" s="30"/>
    </row>
    <row r="51" spans="1:16">
      <c r="A51" s="18" t="str">
        <f t="shared" si="2"/>
        <v>20260721-047</v>
      </c>
      <c r="B51" s="19">
        <f t="shared" si="3"/>
        <v>46224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20260721-048</v>
      </c>
      <c r="B52" s="19">
        <f t="shared" si="3"/>
        <v>46224</v>
      </c>
      <c r="C52" s="20" t="s">
        <v>73</v>
      </c>
      <c r="D52" s="21"/>
      <c r="E52" s="22"/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20260721-049</v>
      </c>
      <c r="B53" s="19">
        <f t="shared" si="3"/>
        <v>46224</v>
      </c>
      <c r="C53" s="20" t="s">
        <v>74</v>
      </c>
      <c r="D53" s="31"/>
      <c r="E53" s="22"/>
      <c r="F53" s="23"/>
      <c r="G53" s="24"/>
      <c r="H53" s="25">
        <v>2</v>
      </c>
      <c r="I53" s="26">
        <v>5</v>
      </c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20260721-050</v>
      </c>
      <c r="B54" s="19">
        <f t="shared" si="3"/>
        <v>46224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20260721-051</v>
      </c>
      <c r="B55" s="19">
        <f t="shared" si="3"/>
        <v>46224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20260721-052</v>
      </c>
      <c r="B56" s="19">
        <f t="shared" si="3"/>
        <v>46224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20260721-053</v>
      </c>
      <c r="B57" s="19">
        <f t="shared" si="3"/>
        <v>46224</v>
      </c>
      <c r="C57" s="20" t="s">
        <v>78</v>
      </c>
      <c r="D57" s="31"/>
      <c r="E57" s="22">
        <v>1</v>
      </c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20260721-054</v>
      </c>
      <c r="B58" s="19">
        <f t="shared" si="3"/>
        <v>46224</v>
      </c>
      <c r="C58" s="20" t="s">
        <v>79</v>
      </c>
      <c r="D58" s="31"/>
      <c r="E58" s="22">
        <v>1</v>
      </c>
      <c r="F58" s="23"/>
      <c r="G58" s="24"/>
      <c r="H58" s="25"/>
      <c r="I58" s="26"/>
      <c r="J58" s="27"/>
      <c r="K58" s="28">
        <v>1</v>
      </c>
      <c r="L58" s="15"/>
      <c r="M58" s="16"/>
      <c r="N58" s="15"/>
      <c r="O58" s="16"/>
      <c r="P58" s="17"/>
    </row>
    <row r="59" spans="1:16">
      <c r="A59" s="18" t="str">
        <f t="shared" si="2"/>
        <v>20260721-055</v>
      </c>
      <c r="B59" s="19">
        <f t="shared" si="3"/>
        <v>46224</v>
      </c>
      <c r="C59" s="20" t="s">
        <v>80</v>
      </c>
      <c r="D59" s="31"/>
      <c r="E59" s="22">
        <v>1</v>
      </c>
      <c r="F59" s="23"/>
      <c r="G59" s="24"/>
      <c r="H59" s="25"/>
      <c r="I59" s="26"/>
      <c r="J59" s="27"/>
      <c r="K59" s="28">
        <v>1</v>
      </c>
      <c r="L59" s="15"/>
      <c r="M59" s="16"/>
      <c r="N59" s="15"/>
      <c r="O59" s="16"/>
      <c r="P59" s="17"/>
    </row>
    <row r="60" spans="1:16">
      <c r="A60" s="18" t="str">
        <f t="shared" si="2"/>
        <v>20260721-056</v>
      </c>
      <c r="B60" s="19">
        <f t="shared" si="3"/>
        <v>46224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20260721-057</v>
      </c>
      <c r="B61" s="19">
        <f t="shared" si="3"/>
        <v>46224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20260721-058</v>
      </c>
      <c r="B62" s="19">
        <f t="shared" si="3"/>
        <v>46224</v>
      </c>
      <c r="C62" s="20" t="s">
        <v>83</v>
      </c>
      <c r="D62" s="31"/>
      <c r="E62" s="22"/>
      <c r="F62" s="23"/>
      <c r="G62" s="24"/>
      <c r="H62" s="25"/>
      <c r="I62" s="26">
        <v>10</v>
      </c>
      <c r="J62" s="27">
        <v>2</v>
      </c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20260721-059</v>
      </c>
      <c r="B63" s="19">
        <f t="shared" si="3"/>
        <v>46224</v>
      </c>
      <c r="C63" s="20" t="s">
        <v>84</v>
      </c>
      <c r="D63" s="21"/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20260721-060</v>
      </c>
      <c r="B64" s="19">
        <f t="shared" si="3"/>
        <v>46224</v>
      </c>
      <c r="C64" s="20" t="s">
        <v>85</v>
      </c>
      <c r="D64" s="31"/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20260721-061</v>
      </c>
      <c r="B65" s="19">
        <f t="shared" si="3"/>
        <v>46224</v>
      </c>
      <c r="C65" s="20" t="s">
        <v>86</v>
      </c>
      <c r="D65" s="21"/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20260721-062</v>
      </c>
      <c r="B66" s="19">
        <f t="shared" si="3"/>
        <v>46224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20260721-063</v>
      </c>
      <c r="B67" s="19">
        <f t="shared" si="3"/>
        <v>46224</v>
      </c>
      <c r="C67" s="20" t="s">
        <v>88</v>
      </c>
      <c r="D67" s="21"/>
      <c r="E67" s="22"/>
      <c r="F67" s="23"/>
      <c r="G67" s="24"/>
      <c r="H67" s="25"/>
      <c r="I67" s="26"/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20260721-064</v>
      </c>
      <c r="B68" s="19">
        <f t="shared" si="3"/>
        <v>46224</v>
      </c>
      <c r="C68" s="20" t="s">
        <v>89</v>
      </c>
      <c r="D68" s="31"/>
      <c r="E68" s="22"/>
      <c r="F68" s="23"/>
      <c r="G68" s="24"/>
      <c r="H68" s="25"/>
      <c r="I68" s="26"/>
      <c r="J68" s="27"/>
      <c r="K68" s="28"/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20260721-065</v>
      </c>
      <c r="B69" s="19">
        <f t="shared" si="3"/>
        <v>46224</v>
      </c>
      <c r="C69" s="20" t="s">
        <v>90</v>
      </c>
      <c r="D69" s="21"/>
      <c r="E69" s="22"/>
      <c r="F69" s="23"/>
      <c r="G69" s="24"/>
      <c r="H69" s="25"/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20260721-066</v>
      </c>
      <c r="B70" s="19">
        <f t="shared" ref="B70:B80" si="5">$B$5</f>
        <v>46224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20260721-067</v>
      </c>
      <c r="B71" s="19">
        <f t="shared" si="5"/>
        <v>46224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20260721-068</v>
      </c>
      <c r="B72" s="19">
        <f t="shared" si="5"/>
        <v>46224</v>
      </c>
      <c r="C72" s="20" t="s">
        <v>93</v>
      </c>
      <c r="D72" s="31"/>
      <c r="E72" s="22">
        <v>1</v>
      </c>
      <c r="F72" s="23"/>
      <c r="G72" s="24"/>
      <c r="H72" s="25"/>
      <c r="I72" s="26"/>
      <c r="J72" s="27"/>
      <c r="K72" s="28">
        <v>1</v>
      </c>
      <c r="L72" s="15"/>
      <c r="M72" s="16"/>
      <c r="N72" s="15"/>
      <c r="O72" s="16"/>
      <c r="P72" s="17"/>
    </row>
    <row r="73" spans="1:16">
      <c r="A73" s="18" t="str">
        <f t="shared" si="4"/>
        <v>20260721-069</v>
      </c>
      <c r="B73" s="19">
        <f t="shared" si="5"/>
        <v>46224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20260721-070</v>
      </c>
      <c r="B74" s="19">
        <f t="shared" si="5"/>
        <v>46224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2</v>
      </c>
      <c r="M74" s="16">
        <v>6</v>
      </c>
      <c r="N74" s="15"/>
      <c r="O74" s="16"/>
    </row>
    <row r="75" spans="1:16">
      <c r="A75" s="18" t="str">
        <f t="shared" si="4"/>
        <v>20260721-071</v>
      </c>
      <c r="B75" s="19">
        <f t="shared" si="5"/>
        <v>46224</v>
      </c>
      <c r="C75" s="20" t="s">
        <v>96</v>
      </c>
      <c r="D75" s="21"/>
      <c r="E75" s="22"/>
      <c r="F75" s="23"/>
      <c r="G75" s="24">
        <v>2</v>
      </c>
      <c r="H75" s="25"/>
      <c r="I75" s="26"/>
      <c r="J75" s="27"/>
      <c r="K75" s="28">
        <v>2</v>
      </c>
      <c r="L75" s="15"/>
      <c r="M75" s="16"/>
      <c r="N75" s="15"/>
      <c r="O75" s="16"/>
      <c r="P75" s="30"/>
    </row>
    <row r="76" spans="1:16">
      <c r="A76" s="18" t="str">
        <f t="shared" si="4"/>
        <v>20260721-072</v>
      </c>
      <c r="B76" s="19">
        <f t="shared" si="5"/>
        <v>46224</v>
      </c>
      <c r="C76" s="20" t="s">
        <v>97</v>
      </c>
      <c r="D76" s="31"/>
      <c r="E76" s="22"/>
      <c r="F76" s="23"/>
      <c r="G76" s="24">
        <v>1</v>
      </c>
      <c r="H76" s="25"/>
      <c r="I76" s="26"/>
      <c r="J76" s="27"/>
      <c r="K76" s="28">
        <v>2</v>
      </c>
      <c r="L76" s="15"/>
      <c r="M76" s="16"/>
      <c r="N76" s="15"/>
      <c r="O76" s="16"/>
    </row>
    <row r="77" spans="1:16">
      <c r="A77" s="18" t="str">
        <f t="shared" si="4"/>
        <v>20260721-073</v>
      </c>
      <c r="B77" s="19">
        <f t="shared" si="5"/>
        <v>46224</v>
      </c>
      <c r="C77" s="20" t="s">
        <v>98</v>
      </c>
      <c r="D77" s="21"/>
      <c r="E77" s="22"/>
      <c r="F77" s="23"/>
      <c r="G77" s="24">
        <v>1</v>
      </c>
      <c r="H77" s="25"/>
      <c r="I77" s="26"/>
      <c r="J77" s="27"/>
      <c r="K77" s="28"/>
      <c r="L77" s="34">
        <v>2</v>
      </c>
      <c r="M77" s="16"/>
      <c r="N77" s="15"/>
      <c r="O77" s="16"/>
      <c r="P77" s="30"/>
    </row>
    <row r="78" spans="1:16">
      <c r="A78" s="18" t="str">
        <f t="shared" si="4"/>
        <v>20260721-074</v>
      </c>
      <c r="B78" s="19">
        <f t="shared" si="5"/>
        <v>46224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20260721-075</v>
      </c>
      <c r="B79" s="19">
        <f t="shared" si="5"/>
        <v>46224</v>
      </c>
      <c r="C79" s="20" t="s">
        <v>100</v>
      </c>
      <c r="D79" s="21"/>
      <c r="E79" s="22">
        <v>1</v>
      </c>
      <c r="F79" s="23"/>
      <c r="G79" s="24"/>
      <c r="H79" s="25"/>
      <c r="I79" s="26"/>
      <c r="J79" s="27"/>
      <c r="K79" s="28">
        <v>1</v>
      </c>
      <c r="L79" s="15"/>
      <c r="M79" s="16"/>
      <c r="N79" s="15"/>
      <c r="O79" s="16"/>
      <c r="P79" s="30"/>
    </row>
    <row r="80" spans="1:16">
      <c r="A80" s="18" t="str">
        <f t="shared" si="4"/>
        <v>20260721-076</v>
      </c>
      <c r="B80" s="19">
        <f t="shared" si="5"/>
        <v>46224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80"/>
  <sheetViews>
    <sheetView topLeftCell="C6" workbookViewId="0">
      <selection activeCell="J14" sqref="J1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20260722-001</v>
      </c>
      <c r="B5" s="5">
        <v>46225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20260722-002</v>
      </c>
      <c r="B6" s="19">
        <f t="shared" ref="B6:B37" si="1">$B$5</f>
        <v>46225</v>
      </c>
      <c r="C6" s="20" t="s">
        <v>28</v>
      </c>
      <c r="D6" s="21">
        <v>10</v>
      </c>
      <c r="E6" s="22">
        <v>3</v>
      </c>
      <c r="F6" s="23"/>
      <c r="G6" s="24">
        <v>10</v>
      </c>
      <c r="H6" s="25"/>
      <c r="I6" s="26"/>
      <c r="J6" s="27"/>
      <c r="K6" s="28">
        <v>11</v>
      </c>
      <c r="L6" s="15"/>
      <c r="M6" s="29"/>
      <c r="N6" s="15"/>
      <c r="O6" s="29"/>
      <c r="P6" s="30"/>
    </row>
    <row r="7" spans="1:16">
      <c r="A7" s="18" t="str">
        <f t="shared" si="0"/>
        <v>20260722-003</v>
      </c>
      <c r="B7" s="19">
        <f t="shared" si="1"/>
        <v>46225</v>
      </c>
      <c r="C7" s="20" t="s">
        <v>29</v>
      </c>
      <c r="D7" s="31"/>
      <c r="E7" s="22"/>
      <c r="F7" s="23"/>
      <c r="G7" s="24"/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20260722-004</v>
      </c>
      <c r="B8" s="19">
        <f t="shared" si="1"/>
        <v>46225</v>
      </c>
      <c r="C8" s="20" t="s">
        <v>30</v>
      </c>
      <c r="D8" s="21"/>
      <c r="E8" s="22"/>
      <c r="F8" s="23"/>
      <c r="G8" s="24"/>
      <c r="H8" s="25"/>
      <c r="I8" s="26"/>
      <c r="J8" s="27"/>
      <c r="K8" s="28"/>
      <c r="L8" s="15"/>
      <c r="M8" s="16"/>
      <c r="N8" s="15"/>
      <c r="O8" s="16"/>
      <c r="P8" s="30"/>
    </row>
    <row r="9" spans="1:16">
      <c r="A9" s="18" t="str">
        <f t="shared" si="0"/>
        <v>20260722-005</v>
      </c>
      <c r="B9" s="19">
        <f t="shared" si="1"/>
        <v>46225</v>
      </c>
      <c r="C9" s="20" t="s">
        <v>31</v>
      </c>
      <c r="D9" s="31"/>
      <c r="E9" s="22"/>
      <c r="F9" s="23"/>
      <c r="G9" s="24">
        <v>1</v>
      </c>
      <c r="H9" s="25"/>
      <c r="I9" s="26"/>
      <c r="J9" s="27"/>
      <c r="K9" s="28">
        <v>1</v>
      </c>
      <c r="L9" s="15"/>
      <c r="M9" s="29"/>
      <c r="N9" s="15"/>
      <c r="O9" s="29"/>
      <c r="P9" s="17"/>
    </row>
    <row r="10" spans="1:16">
      <c r="A10" s="18" t="str">
        <f t="shared" si="0"/>
        <v>20260722-006</v>
      </c>
      <c r="B10" s="19">
        <f t="shared" si="1"/>
        <v>46225</v>
      </c>
      <c r="C10" s="20" t="s">
        <v>32</v>
      </c>
      <c r="D10" s="21"/>
      <c r="E10" s="22"/>
      <c r="F10" s="23"/>
      <c r="G10" s="24"/>
      <c r="H10" s="25"/>
      <c r="I10" s="26">
        <v>1</v>
      </c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20260722-007</v>
      </c>
      <c r="B11" s="19">
        <f t="shared" si="1"/>
        <v>46225</v>
      </c>
      <c r="C11" s="20" t="s">
        <v>33</v>
      </c>
      <c r="D11" s="31"/>
      <c r="E11" s="22"/>
      <c r="F11" s="23"/>
      <c r="G11" s="24"/>
      <c r="H11" s="25"/>
      <c r="I11" s="26"/>
      <c r="J11" s="27"/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20260722-008</v>
      </c>
      <c r="B12" s="19">
        <f t="shared" si="1"/>
        <v>46225</v>
      </c>
      <c r="C12" s="33" t="s">
        <v>34</v>
      </c>
      <c r="D12" s="21">
        <v>5</v>
      </c>
      <c r="E12" s="22">
        <v>5</v>
      </c>
      <c r="F12" s="23"/>
      <c r="G12" s="24">
        <v>5</v>
      </c>
      <c r="H12" s="25"/>
      <c r="I12" s="26"/>
      <c r="J12" s="27"/>
      <c r="K12" s="28">
        <v>5</v>
      </c>
      <c r="L12" s="15">
        <v>20</v>
      </c>
      <c r="M12" s="16"/>
      <c r="N12" s="15"/>
      <c r="O12" s="16"/>
      <c r="P12" s="30"/>
    </row>
    <row r="13" spans="1:16">
      <c r="A13" s="18" t="str">
        <f t="shared" si="0"/>
        <v>20260722-009</v>
      </c>
      <c r="B13" s="19">
        <f t="shared" si="1"/>
        <v>46225</v>
      </c>
      <c r="C13" s="33" t="s">
        <v>104</v>
      </c>
      <c r="D13" s="31"/>
      <c r="E13" s="22"/>
      <c r="F13" s="23"/>
      <c r="G13" s="24"/>
      <c r="H13" s="25">
        <v>5</v>
      </c>
      <c r="I13" s="26">
        <v>3</v>
      </c>
      <c r="J13" s="27">
        <v>5</v>
      </c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20260722-010</v>
      </c>
      <c r="B14" s="19">
        <f t="shared" si="1"/>
        <v>46225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20260722-011</v>
      </c>
      <c r="B15" s="19">
        <f t="shared" si="1"/>
        <v>46225</v>
      </c>
      <c r="C15" s="33" t="s">
        <v>36</v>
      </c>
      <c r="D15" s="31"/>
      <c r="E15" s="22"/>
      <c r="F15" s="23"/>
      <c r="G15" s="24"/>
      <c r="H15" s="25">
        <v>8</v>
      </c>
      <c r="I15" s="26">
        <v>4</v>
      </c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20260722-012</v>
      </c>
      <c r="B16" s="19">
        <f t="shared" si="1"/>
        <v>46225</v>
      </c>
      <c r="C16" s="20" t="s">
        <v>37</v>
      </c>
      <c r="D16" s="21"/>
      <c r="E16" s="22"/>
      <c r="F16" s="23"/>
      <c r="G16" s="24"/>
      <c r="H16" s="25"/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20260722-013</v>
      </c>
      <c r="B17" s="19">
        <f t="shared" si="1"/>
        <v>46225</v>
      </c>
      <c r="C17" s="20" t="s">
        <v>38</v>
      </c>
      <c r="D17" s="31"/>
      <c r="E17" s="22"/>
      <c r="F17" s="23"/>
      <c r="G17" s="24">
        <v>1</v>
      </c>
      <c r="H17" s="25">
        <v>1</v>
      </c>
      <c r="I17" s="26"/>
      <c r="J17" s="27"/>
      <c r="K17" s="28"/>
      <c r="L17" s="15"/>
      <c r="M17" s="16"/>
      <c r="N17" s="15"/>
      <c r="O17" s="16"/>
      <c r="P17" s="17"/>
    </row>
    <row r="18" spans="1:16">
      <c r="A18" s="18" t="str">
        <f t="shared" si="0"/>
        <v>20260722-014</v>
      </c>
      <c r="B18" s="19">
        <f t="shared" si="1"/>
        <v>46225</v>
      </c>
      <c r="C18" s="20" t="s">
        <v>39</v>
      </c>
      <c r="D18" s="21"/>
      <c r="E18" s="22"/>
      <c r="F18" s="23"/>
      <c r="G18" s="24"/>
      <c r="H18" s="25"/>
      <c r="I18" s="26"/>
      <c r="J18" s="27"/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20260722-015</v>
      </c>
      <c r="B19" s="19">
        <f t="shared" si="1"/>
        <v>46225</v>
      </c>
      <c r="C19" s="20" t="s">
        <v>40</v>
      </c>
      <c r="D19" s="31"/>
      <c r="E19" s="22">
        <v>1</v>
      </c>
      <c r="F19" s="23"/>
      <c r="G19" s="24"/>
      <c r="H19" s="25">
        <v>5</v>
      </c>
      <c r="I19" s="26">
        <v>5</v>
      </c>
      <c r="J19" s="27"/>
      <c r="K19" s="28"/>
      <c r="L19" s="15"/>
      <c r="M19" s="16"/>
      <c r="N19" s="15"/>
      <c r="O19" s="16"/>
      <c r="P19" s="17"/>
    </row>
    <row r="20" spans="1:16">
      <c r="A20" s="18" t="str">
        <f t="shared" si="0"/>
        <v>20260722-016</v>
      </c>
      <c r="B20" s="19">
        <f t="shared" si="1"/>
        <v>46225</v>
      </c>
      <c r="C20" s="20" t="s">
        <v>41</v>
      </c>
      <c r="D20" s="21"/>
      <c r="E20" s="22"/>
      <c r="F20" s="23"/>
      <c r="G20" s="24">
        <v>1</v>
      </c>
      <c r="H20" s="25"/>
      <c r="I20" s="26"/>
      <c r="J20" s="27"/>
      <c r="K20" s="28">
        <v>1</v>
      </c>
      <c r="L20" s="15"/>
      <c r="M20" s="16"/>
      <c r="N20" s="15"/>
      <c r="O20" s="16"/>
      <c r="P20" s="30"/>
    </row>
    <row r="21" spans="1:16">
      <c r="A21" s="18" t="str">
        <f t="shared" si="0"/>
        <v>20260722-017</v>
      </c>
      <c r="B21" s="19">
        <f t="shared" si="1"/>
        <v>46225</v>
      </c>
      <c r="C21" s="20" t="s">
        <v>42</v>
      </c>
      <c r="D21" s="31"/>
      <c r="E21" s="22">
        <v>2</v>
      </c>
      <c r="F21" s="23"/>
      <c r="G21" s="24">
        <v>2</v>
      </c>
      <c r="H21" s="25"/>
      <c r="I21" s="26"/>
      <c r="J21" s="27"/>
      <c r="K21" s="28">
        <v>2</v>
      </c>
      <c r="L21" s="15"/>
      <c r="M21" s="16"/>
      <c r="N21" s="15"/>
      <c r="O21" s="16"/>
      <c r="P21" s="17"/>
    </row>
    <row r="22" spans="1:16">
      <c r="A22" s="18" t="str">
        <f t="shared" si="0"/>
        <v>20260722-018</v>
      </c>
      <c r="B22" s="19">
        <f t="shared" si="1"/>
        <v>46225</v>
      </c>
      <c r="C22" s="20" t="s">
        <v>43</v>
      </c>
      <c r="D22" s="21"/>
      <c r="E22" s="22"/>
      <c r="F22" s="23"/>
      <c r="G22" s="24">
        <v>1</v>
      </c>
      <c r="H22" s="25">
        <v>4</v>
      </c>
      <c r="I22" s="26">
        <v>3</v>
      </c>
      <c r="J22" s="27"/>
      <c r="K22" s="28"/>
      <c r="L22" s="15"/>
      <c r="M22" s="16"/>
      <c r="N22" s="15"/>
      <c r="O22" s="16"/>
      <c r="P22" s="30"/>
    </row>
    <row r="23" spans="1:16">
      <c r="A23" s="18" t="str">
        <f t="shared" si="0"/>
        <v>20260722-019</v>
      </c>
      <c r="B23" s="19">
        <f t="shared" si="1"/>
        <v>46225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20260722-020</v>
      </c>
      <c r="B24" s="19">
        <f t="shared" si="1"/>
        <v>46225</v>
      </c>
      <c r="C24" s="20" t="s">
        <v>45</v>
      </c>
      <c r="D24" s="21">
        <v>5</v>
      </c>
      <c r="E24" s="22"/>
      <c r="F24" s="23"/>
      <c r="G24" s="24"/>
      <c r="H24" s="25">
        <v>2</v>
      </c>
      <c r="I24" s="26"/>
      <c r="J24" s="27"/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20260722-021</v>
      </c>
      <c r="B25" s="19">
        <f t="shared" si="1"/>
        <v>46225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20260722-022</v>
      </c>
      <c r="B26" s="19">
        <f t="shared" si="1"/>
        <v>46225</v>
      </c>
      <c r="C26" s="20" t="s">
        <v>47</v>
      </c>
      <c r="D26" s="21"/>
      <c r="E26" s="22"/>
      <c r="F26" s="23"/>
      <c r="G26" s="24"/>
      <c r="H26" s="25"/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20260722-023</v>
      </c>
      <c r="B27" s="19">
        <f t="shared" si="1"/>
        <v>46225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20260722-024</v>
      </c>
      <c r="B28" s="19">
        <f t="shared" si="1"/>
        <v>46225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20260722-025</v>
      </c>
      <c r="B29" s="19">
        <f t="shared" si="1"/>
        <v>46225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20260722-026</v>
      </c>
      <c r="B30" s="19">
        <f t="shared" si="1"/>
        <v>46225</v>
      </c>
      <c r="C30" s="20" t="s">
        <v>51</v>
      </c>
      <c r="D30" s="21"/>
      <c r="E30" s="22">
        <v>2</v>
      </c>
      <c r="F30" s="23"/>
      <c r="G30" s="24">
        <v>1</v>
      </c>
      <c r="H30" s="25"/>
      <c r="I30" s="26"/>
      <c r="J30" s="27"/>
      <c r="K30" s="28">
        <v>3</v>
      </c>
      <c r="L30" s="15"/>
      <c r="M30" s="16"/>
      <c r="N30" s="15"/>
      <c r="O30" s="16"/>
      <c r="P30" s="30"/>
    </row>
    <row r="31" spans="1:16">
      <c r="A31" s="18" t="str">
        <f t="shared" si="0"/>
        <v>20260722-027</v>
      </c>
      <c r="B31" s="19">
        <f t="shared" si="1"/>
        <v>46225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20260722-028</v>
      </c>
      <c r="B32" s="19">
        <f t="shared" si="1"/>
        <v>46225</v>
      </c>
      <c r="C32" s="20" t="s">
        <v>53</v>
      </c>
      <c r="D32" s="21"/>
      <c r="E32" s="22"/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20260722-029</v>
      </c>
      <c r="B33" s="19">
        <f t="shared" si="1"/>
        <v>46225</v>
      </c>
      <c r="C33" s="20" t="s">
        <v>54</v>
      </c>
      <c r="D33" s="31"/>
      <c r="E33" s="22"/>
      <c r="F33" s="23"/>
      <c r="G33" s="24">
        <v>3</v>
      </c>
      <c r="H33" s="25"/>
      <c r="I33" s="26"/>
      <c r="J33" s="27"/>
      <c r="K33" s="28">
        <v>2</v>
      </c>
      <c r="L33" s="15"/>
      <c r="M33" s="16"/>
      <c r="N33" s="15"/>
      <c r="O33" s="16"/>
      <c r="P33" s="17"/>
    </row>
    <row r="34" spans="1:16">
      <c r="A34" s="18" t="str">
        <f t="shared" si="0"/>
        <v>20260722-030</v>
      </c>
      <c r="B34" s="19">
        <f t="shared" si="1"/>
        <v>46225</v>
      </c>
      <c r="C34" s="20" t="s">
        <v>55</v>
      </c>
      <c r="D34" s="21"/>
      <c r="E34" s="22">
        <v>1</v>
      </c>
      <c r="F34" s="23"/>
      <c r="G34" s="24"/>
      <c r="H34" s="25"/>
      <c r="I34" s="26"/>
      <c r="J34" s="27"/>
      <c r="K34" s="28">
        <v>1</v>
      </c>
      <c r="L34" s="15"/>
      <c r="M34" s="16"/>
      <c r="N34" s="15"/>
      <c r="O34" s="16"/>
      <c r="P34" s="30"/>
    </row>
    <row r="35" spans="1:16">
      <c r="A35" s="18" t="str">
        <f t="shared" si="0"/>
        <v>20260722-031</v>
      </c>
      <c r="B35" s="19">
        <f t="shared" si="1"/>
        <v>46225</v>
      </c>
      <c r="C35" s="20" t="s">
        <v>56</v>
      </c>
      <c r="D35" s="31">
        <v>10</v>
      </c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20260722-032</v>
      </c>
      <c r="B36" s="19">
        <f t="shared" si="1"/>
        <v>46225</v>
      </c>
      <c r="C36" s="20" t="s">
        <v>57</v>
      </c>
      <c r="D36" s="21">
        <v>5</v>
      </c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20260722-033</v>
      </c>
      <c r="B37" s="19">
        <f t="shared" si="1"/>
        <v>46225</v>
      </c>
      <c r="C37" s="20" t="s">
        <v>58</v>
      </c>
      <c r="D37" s="31"/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20260722-034</v>
      </c>
      <c r="B38" s="19">
        <f t="shared" ref="B38:B69" si="3">$B$5</f>
        <v>46225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20260722-035</v>
      </c>
      <c r="B39" s="19">
        <f t="shared" si="3"/>
        <v>46225</v>
      </c>
      <c r="C39" s="20" t="s">
        <v>60</v>
      </c>
      <c r="D39" s="31"/>
      <c r="E39" s="22"/>
      <c r="F39" s="23"/>
      <c r="G39" s="24"/>
      <c r="H39" s="25"/>
      <c r="I39" s="26"/>
      <c r="J39" s="27"/>
      <c r="K39" s="28"/>
      <c r="L39" s="15"/>
      <c r="M39" s="16"/>
      <c r="N39" s="15"/>
      <c r="O39" s="16"/>
      <c r="P39" s="17"/>
    </row>
    <row r="40" spans="1:16">
      <c r="A40" s="18" t="str">
        <f t="shared" si="2"/>
        <v>20260722-036</v>
      </c>
      <c r="B40" s="19">
        <f t="shared" si="3"/>
        <v>46225</v>
      </c>
      <c r="C40" s="20" t="s">
        <v>61</v>
      </c>
      <c r="D40" s="21"/>
      <c r="E40" s="22"/>
      <c r="F40" s="23"/>
      <c r="G40" s="24"/>
      <c r="H40" s="25"/>
      <c r="I40" s="26"/>
      <c r="J40" s="27"/>
      <c r="K40" s="28"/>
      <c r="L40" s="15"/>
      <c r="M40" s="16"/>
      <c r="N40" s="15"/>
      <c r="O40" s="16"/>
      <c r="P40" s="30"/>
    </row>
    <row r="41" spans="1:16">
      <c r="A41" s="18" t="str">
        <f t="shared" si="2"/>
        <v>20260722-037</v>
      </c>
      <c r="B41" s="19">
        <f t="shared" si="3"/>
        <v>46225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20260722-038</v>
      </c>
      <c r="B42" s="19">
        <f t="shared" si="3"/>
        <v>46225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20260722-039</v>
      </c>
      <c r="B43" s="19">
        <f t="shared" si="3"/>
        <v>46225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20260722-040</v>
      </c>
      <c r="B44" s="19">
        <f t="shared" si="3"/>
        <v>46225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20260722-041</v>
      </c>
      <c r="B45" s="19">
        <f t="shared" si="3"/>
        <v>46225</v>
      </c>
      <c r="C45" s="20" t="s">
        <v>66</v>
      </c>
      <c r="D45" s="31"/>
      <c r="E45" s="22"/>
      <c r="F45" s="23"/>
      <c r="G45" s="24">
        <v>1</v>
      </c>
      <c r="H45" s="25"/>
      <c r="I45" s="26"/>
      <c r="J45" s="27"/>
      <c r="K45" s="28">
        <v>1</v>
      </c>
      <c r="L45" s="15"/>
      <c r="M45" s="16"/>
      <c r="N45" s="15"/>
      <c r="O45" s="16"/>
      <c r="P45" s="17"/>
    </row>
    <row r="46" spans="1:16">
      <c r="A46" s="18" t="str">
        <f t="shared" si="2"/>
        <v>20260722-042</v>
      </c>
      <c r="B46" s="19">
        <f t="shared" si="3"/>
        <v>46225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20260722-043</v>
      </c>
      <c r="B47" s="19">
        <f t="shared" si="3"/>
        <v>46225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20260722-044</v>
      </c>
      <c r="B48" s="19">
        <f t="shared" si="3"/>
        <v>46225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20260722-045</v>
      </c>
      <c r="B49" s="19">
        <f t="shared" si="3"/>
        <v>46225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20260722-046</v>
      </c>
      <c r="B50" s="19">
        <f t="shared" si="3"/>
        <v>46225</v>
      </c>
      <c r="C50" s="20" t="s">
        <v>71</v>
      </c>
      <c r="D50" s="21"/>
      <c r="E50" s="22"/>
      <c r="F50" s="23"/>
      <c r="G50" s="24"/>
      <c r="H50" s="25"/>
      <c r="I50" s="26"/>
      <c r="J50" s="27"/>
      <c r="K50" s="28"/>
      <c r="L50" s="15"/>
      <c r="M50" s="16"/>
      <c r="N50" s="15"/>
      <c r="O50" s="16"/>
      <c r="P50" s="30"/>
    </row>
    <row r="51" spans="1:16">
      <c r="A51" s="18" t="str">
        <f t="shared" si="2"/>
        <v>20260722-047</v>
      </c>
      <c r="B51" s="19">
        <f t="shared" si="3"/>
        <v>46225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20260722-048</v>
      </c>
      <c r="B52" s="19">
        <f t="shared" si="3"/>
        <v>46225</v>
      </c>
      <c r="C52" s="20" t="s">
        <v>73</v>
      </c>
      <c r="D52" s="21"/>
      <c r="E52" s="22"/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20260722-049</v>
      </c>
      <c r="B53" s="19">
        <f t="shared" si="3"/>
        <v>46225</v>
      </c>
      <c r="C53" s="20" t="s">
        <v>74</v>
      </c>
      <c r="D53" s="31"/>
      <c r="E53" s="22"/>
      <c r="F53" s="23"/>
      <c r="G53" s="24"/>
      <c r="H53" s="25"/>
      <c r="I53" s="26"/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20260722-050</v>
      </c>
      <c r="B54" s="19">
        <f t="shared" si="3"/>
        <v>46225</v>
      </c>
      <c r="C54" s="20" t="s">
        <v>75</v>
      </c>
      <c r="D54" s="31"/>
      <c r="E54" s="22"/>
      <c r="F54" s="23"/>
      <c r="G54" s="24">
        <v>1</v>
      </c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20260722-051</v>
      </c>
      <c r="B55" s="19">
        <f t="shared" si="3"/>
        <v>46225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20260722-052</v>
      </c>
      <c r="B56" s="19">
        <f t="shared" si="3"/>
        <v>46225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20260722-053</v>
      </c>
      <c r="B57" s="19">
        <f t="shared" si="3"/>
        <v>46225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20260722-054</v>
      </c>
      <c r="B58" s="19">
        <f t="shared" si="3"/>
        <v>46225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20260722-055</v>
      </c>
      <c r="B59" s="19">
        <f t="shared" si="3"/>
        <v>46225</v>
      </c>
      <c r="C59" s="20" t="s">
        <v>80</v>
      </c>
      <c r="D59" s="31"/>
      <c r="E59" s="22"/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20260722-056</v>
      </c>
      <c r="B60" s="19">
        <f t="shared" si="3"/>
        <v>46225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20260722-057</v>
      </c>
      <c r="B61" s="19">
        <f t="shared" si="3"/>
        <v>46225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20260722-058</v>
      </c>
      <c r="B62" s="19">
        <f t="shared" si="3"/>
        <v>46225</v>
      </c>
      <c r="C62" s="20" t="s">
        <v>83</v>
      </c>
      <c r="D62" s="31"/>
      <c r="E62" s="22"/>
      <c r="F62" s="23"/>
      <c r="G62" s="24"/>
      <c r="H62" s="25">
        <v>15</v>
      </c>
      <c r="I62" s="26">
        <v>10</v>
      </c>
      <c r="J62" s="27">
        <v>6</v>
      </c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20260722-059</v>
      </c>
      <c r="B63" s="19">
        <f t="shared" si="3"/>
        <v>46225</v>
      </c>
      <c r="C63" s="20" t="s">
        <v>84</v>
      </c>
      <c r="D63" s="21">
        <v>10</v>
      </c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20260722-060</v>
      </c>
      <c r="B64" s="19">
        <f t="shared" si="3"/>
        <v>46225</v>
      </c>
      <c r="C64" s="20" t="s">
        <v>85</v>
      </c>
      <c r="D64" s="31"/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20260722-061</v>
      </c>
      <c r="B65" s="19">
        <f t="shared" si="3"/>
        <v>46225</v>
      </c>
      <c r="C65" s="20" t="s">
        <v>86</v>
      </c>
      <c r="D65" s="21">
        <v>20</v>
      </c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20260722-062</v>
      </c>
      <c r="B66" s="19">
        <f t="shared" si="3"/>
        <v>46225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20260722-063</v>
      </c>
      <c r="B67" s="19">
        <f t="shared" si="3"/>
        <v>46225</v>
      </c>
      <c r="C67" s="20" t="s">
        <v>88</v>
      </c>
      <c r="D67" s="21"/>
      <c r="E67" s="22"/>
      <c r="F67" s="23"/>
      <c r="G67" s="24"/>
      <c r="H67" s="25">
        <v>7</v>
      </c>
      <c r="I67" s="26">
        <v>6</v>
      </c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20260722-064</v>
      </c>
      <c r="B68" s="19">
        <f t="shared" si="3"/>
        <v>46225</v>
      </c>
      <c r="C68" s="20" t="s">
        <v>89</v>
      </c>
      <c r="D68" s="31"/>
      <c r="E68" s="22">
        <v>4</v>
      </c>
      <c r="F68" s="23"/>
      <c r="G68" s="24"/>
      <c r="H68" s="25"/>
      <c r="I68" s="26"/>
      <c r="J68" s="27"/>
      <c r="K68" s="28">
        <v>3</v>
      </c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20260722-065</v>
      </c>
      <c r="B69" s="19">
        <f t="shared" si="3"/>
        <v>46225</v>
      </c>
      <c r="C69" s="20" t="s">
        <v>90</v>
      </c>
      <c r="D69" s="21"/>
      <c r="E69" s="22"/>
      <c r="F69" s="23"/>
      <c r="G69" s="24"/>
      <c r="H69" s="25">
        <v>2</v>
      </c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20260722-066</v>
      </c>
      <c r="B70" s="19">
        <f t="shared" ref="B70:B80" si="5">$B$5</f>
        <v>46225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20260722-067</v>
      </c>
      <c r="B71" s="19">
        <f t="shared" si="5"/>
        <v>46225</v>
      </c>
      <c r="C71" s="20" t="s">
        <v>92</v>
      </c>
      <c r="D71" s="21"/>
      <c r="E71" s="22"/>
      <c r="F71" s="23"/>
      <c r="G71" s="24">
        <v>1</v>
      </c>
      <c r="H71" s="25"/>
      <c r="I71" s="26"/>
      <c r="J71" s="27"/>
      <c r="K71" s="28">
        <v>1</v>
      </c>
      <c r="L71" s="15"/>
      <c r="M71" s="16"/>
      <c r="N71" s="15"/>
      <c r="O71" s="16"/>
      <c r="P71" s="30"/>
    </row>
    <row r="72" spans="1:16">
      <c r="A72" s="18" t="str">
        <f t="shared" si="4"/>
        <v>20260722-068</v>
      </c>
      <c r="B72" s="19">
        <f t="shared" si="5"/>
        <v>46225</v>
      </c>
      <c r="C72" s="20" t="s">
        <v>93</v>
      </c>
      <c r="D72" s="31"/>
      <c r="E72" s="22">
        <v>1</v>
      </c>
      <c r="F72" s="23"/>
      <c r="G72" s="24"/>
      <c r="H72" s="25"/>
      <c r="I72" s="26"/>
      <c r="J72" s="27"/>
      <c r="K72" s="28">
        <v>1</v>
      </c>
      <c r="L72" s="15"/>
      <c r="M72" s="16"/>
      <c r="N72" s="15"/>
      <c r="O72" s="16"/>
      <c r="P72" s="17"/>
    </row>
    <row r="73" spans="1:16">
      <c r="A73" s="18" t="str">
        <f t="shared" si="4"/>
        <v>20260722-069</v>
      </c>
      <c r="B73" s="19">
        <f t="shared" si="5"/>
        <v>46225</v>
      </c>
      <c r="C73" s="20" t="s">
        <v>94</v>
      </c>
      <c r="D73" s="21"/>
      <c r="E73" s="22">
        <v>1</v>
      </c>
      <c r="F73" s="23"/>
      <c r="G73" s="24"/>
      <c r="H73" s="25"/>
      <c r="I73" s="26"/>
      <c r="J73" s="27"/>
      <c r="K73" s="28">
        <v>1</v>
      </c>
      <c r="L73" s="15"/>
      <c r="M73" s="16"/>
      <c r="N73" s="15"/>
      <c r="O73" s="16"/>
      <c r="P73" s="30"/>
    </row>
    <row r="74" spans="1:16">
      <c r="A74" s="18" t="str">
        <f t="shared" si="4"/>
        <v>20260722-070</v>
      </c>
      <c r="B74" s="19">
        <f t="shared" si="5"/>
        <v>46225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1</v>
      </c>
      <c r="M74" s="16">
        <v>1</v>
      </c>
      <c r="N74" s="15"/>
      <c r="O74" s="16"/>
    </row>
    <row r="75" spans="1:16">
      <c r="A75" s="18" t="str">
        <f t="shared" si="4"/>
        <v>20260722-071</v>
      </c>
      <c r="B75" s="19">
        <f t="shared" si="5"/>
        <v>46225</v>
      </c>
      <c r="C75" s="20" t="s">
        <v>96</v>
      </c>
      <c r="D75" s="21"/>
      <c r="E75" s="22"/>
      <c r="F75" s="23"/>
      <c r="G75" s="24">
        <v>2</v>
      </c>
      <c r="H75" s="25"/>
      <c r="I75" s="26"/>
      <c r="J75" s="27"/>
      <c r="K75" s="28">
        <v>1</v>
      </c>
      <c r="L75" s="15"/>
      <c r="M75" s="16"/>
      <c r="N75" s="15"/>
      <c r="O75" s="16"/>
      <c r="P75" s="30"/>
    </row>
    <row r="76" spans="1:16">
      <c r="A76" s="18" t="str">
        <f t="shared" si="4"/>
        <v>20260722-072</v>
      </c>
      <c r="B76" s="19">
        <f t="shared" si="5"/>
        <v>46225</v>
      </c>
      <c r="C76" s="20" t="s">
        <v>97</v>
      </c>
      <c r="D76" s="31"/>
      <c r="E76" s="22"/>
      <c r="F76" s="23"/>
      <c r="G76" s="24"/>
      <c r="H76" s="25"/>
      <c r="I76" s="26"/>
      <c r="J76" s="27"/>
      <c r="K76" s="28"/>
      <c r="L76" s="15"/>
      <c r="M76" s="16"/>
      <c r="N76" s="15"/>
      <c r="O76" s="16"/>
    </row>
    <row r="77" spans="1:16">
      <c r="A77" s="18" t="str">
        <f t="shared" si="4"/>
        <v>20260722-073</v>
      </c>
      <c r="B77" s="19">
        <f t="shared" si="5"/>
        <v>46225</v>
      </c>
      <c r="C77" s="20" t="s">
        <v>98</v>
      </c>
      <c r="D77" s="21"/>
      <c r="E77" s="22"/>
      <c r="F77" s="23"/>
      <c r="G77" s="24">
        <v>1</v>
      </c>
      <c r="H77" s="25"/>
      <c r="I77" s="26"/>
      <c r="J77" s="27"/>
      <c r="K77" s="28"/>
      <c r="L77" s="34">
        <v>1</v>
      </c>
      <c r="M77" s="16"/>
      <c r="N77" s="15"/>
      <c r="O77" s="16"/>
      <c r="P77" s="30"/>
    </row>
    <row r="78" spans="1:16">
      <c r="A78" s="18" t="str">
        <f t="shared" si="4"/>
        <v>20260722-074</v>
      </c>
      <c r="B78" s="19">
        <f t="shared" si="5"/>
        <v>46225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20260722-075</v>
      </c>
      <c r="B79" s="19">
        <f t="shared" si="5"/>
        <v>46225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20260722-076</v>
      </c>
      <c r="B80" s="19">
        <f t="shared" si="5"/>
        <v>46225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80"/>
  <sheetViews>
    <sheetView topLeftCell="C1" workbookViewId="0">
      <selection activeCell="J13" sqref="J13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20260723-001</v>
      </c>
      <c r="B5" s="5">
        <v>46226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20260723-002</v>
      </c>
      <c r="B6" s="19">
        <f t="shared" ref="B6:B37" si="1">$B$5</f>
        <v>46226</v>
      </c>
      <c r="C6" s="20" t="s">
        <v>28</v>
      </c>
      <c r="D6" s="21">
        <v>10</v>
      </c>
      <c r="E6" s="22">
        <v>4</v>
      </c>
      <c r="F6" s="23"/>
      <c r="G6" s="24">
        <v>6</v>
      </c>
      <c r="H6" s="25"/>
      <c r="I6" s="26"/>
      <c r="J6" s="27"/>
      <c r="K6" s="28">
        <v>9</v>
      </c>
      <c r="L6" s="15"/>
      <c r="M6" s="29"/>
      <c r="N6" s="15"/>
      <c r="O6" s="29"/>
      <c r="P6" s="30"/>
    </row>
    <row r="7" spans="1:16">
      <c r="A7" s="18" t="str">
        <f t="shared" si="0"/>
        <v>20260723-003</v>
      </c>
      <c r="B7" s="19">
        <f t="shared" si="1"/>
        <v>46226</v>
      </c>
      <c r="C7" s="20" t="s">
        <v>29</v>
      </c>
      <c r="D7" s="31"/>
      <c r="E7" s="22"/>
      <c r="F7" s="23"/>
      <c r="G7" s="24"/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20260723-004</v>
      </c>
      <c r="B8" s="19">
        <f t="shared" si="1"/>
        <v>46226</v>
      </c>
      <c r="C8" s="20" t="s">
        <v>30</v>
      </c>
      <c r="D8" s="21"/>
      <c r="E8" s="22"/>
      <c r="F8" s="23"/>
      <c r="G8" s="24"/>
      <c r="H8" s="25"/>
      <c r="I8" s="26"/>
      <c r="J8" s="27"/>
      <c r="K8" s="28"/>
      <c r="L8" s="15"/>
      <c r="M8" s="16"/>
      <c r="N8" s="15"/>
      <c r="O8" s="16"/>
      <c r="P8" s="30"/>
    </row>
    <row r="9" spans="1:16">
      <c r="A9" s="18" t="str">
        <f t="shared" si="0"/>
        <v>20260723-005</v>
      </c>
      <c r="B9" s="19">
        <f t="shared" si="1"/>
        <v>46226</v>
      </c>
      <c r="C9" s="20" t="s">
        <v>31</v>
      </c>
      <c r="D9" s="31"/>
      <c r="E9" s="22"/>
      <c r="F9" s="23"/>
      <c r="G9" s="24">
        <v>1</v>
      </c>
      <c r="H9" s="25"/>
      <c r="I9" s="26"/>
      <c r="J9" s="27"/>
      <c r="K9" s="28">
        <v>1</v>
      </c>
      <c r="L9" s="15"/>
      <c r="M9" s="29"/>
      <c r="N9" s="15"/>
      <c r="O9" s="29"/>
      <c r="P9" s="17"/>
    </row>
    <row r="10" spans="1:16">
      <c r="A10" s="18" t="str">
        <f t="shared" si="0"/>
        <v>20260723-006</v>
      </c>
      <c r="B10" s="19">
        <f t="shared" si="1"/>
        <v>46226</v>
      </c>
      <c r="C10" s="20" t="s">
        <v>32</v>
      </c>
      <c r="D10" s="21"/>
      <c r="E10" s="22"/>
      <c r="F10" s="23"/>
      <c r="G10" s="24"/>
      <c r="H10" s="25"/>
      <c r="I10" s="26"/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20260723-007</v>
      </c>
      <c r="B11" s="19">
        <f t="shared" si="1"/>
        <v>46226</v>
      </c>
      <c r="C11" s="20" t="s">
        <v>33</v>
      </c>
      <c r="D11" s="31"/>
      <c r="E11" s="22"/>
      <c r="F11" s="23"/>
      <c r="G11" s="24"/>
      <c r="H11" s="25">
        <v>40</v>
      </c>
      <c r="I11" s="26">
        <v>40</v>
      </c>
      <c r="J11" s="27">
        <v>20</v>
      </c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20260723-008</v>
      </c>
      <c r="B12" s="19">
        <f t="shared" si="1"/>
        <v>46226</v>
      </c>
      <c r="C12" s="33" t="s">
        <v>34</v>
      </c>
      <c r="D12" s="21">
        <v>10</v>
      </c>
      <c r="E12" s="22">
        <v>7</v>
      </c>
      <c r="F12" s="23"/>
      <c r="G12" s="24">
        <v>9</v>
      </c>
      <c r="H12" s="25"/>
      <c r="I12" s="26"/>
      <c r="J12" s="27"/>
      <c r="K12" s="28"/>
      <c r="L12" s="15"/>
      <c r="M12" s="16"/>
      <c r="N12" s="15"/>
      <c r="O12" s="16"/>
      <c r="P12" s="30"/>
    </row>
    <row r="13" spans="1:16">
      <c r="A13" s="18" t="str">
        <f t="shared" si="0"/>
        <v>20260723-009</v>
      </c>
      <c r="B13" s="19">
        <f t="shared" si="1"/>
        <v>46226</v>
      </c>
      <c r="C13" s="33" t="s">
        <v>104</v>
      </c>
      <c r="D13" s="31"/>
      <c r="E13" s="22"/>
      <c r="F13" s="23"/>
      <c r="G13" s="24"/>
      <c r="H13" s="25">
        <v>5</v>
      </c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20260723-010</v>
      </c>
      <c r="B14" s="19">
        <f t="shared" si="1"/>
        <v>46226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20260723-011</v>
      </c>
      <c r="B15" s="19">
        <f t="shared" si="1"/>
        <v>46226</v>
      </c>
      <c r="C15" s="33" t="s">
        <v>36</v>
      </c>
      <c r="D15" s="31"/>
      <c r="E15" s="22"/>
      <c r="F15" s="23"/>
      <c r="G15" s="24"/>
      <c r="H15" s="25">
        <v>2</v>
      </c>
      <c r="I15" s="26">
        <v>3</v>
      </c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20260723-012</v>
      </c>
      <c r="B16" s="19">
        <f t="shared" si="1"/>
        <v>46226</v>
      </c>
      <c r="C16" s="20" t="s">
        <v>37</v>
      </c>
      <c r="D16" s="21"/>
      <c r="E16" s="22"/>
      <c r="F16" s="23"/>
      <c r="G16" s="24"/>
      <c r="H16" s="25">
        <v>8</v>
      </c>
      <c r="I16" s="26">
        <v>2</v>
      </c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20260723-013</v>
      </c>
      <c r="B17" s="19">
        <f t="shared" si="1"/>
        <v>46226</v>
      </c>
      <c r="C17" s="20" t="s">
        <v>38</v>
      </c>
      <c r="D17" s="31"/>
      <c r="E17" s="22"/>
      <c r="F17" s="23"/>
      <c r="G17" s="24"/>
      <c r="H17" s="25"/>
      <c r="I17" s="26"/>
      <c r="J17" s="27"/>
      <c r="K17" s="28"/>
      <c r="L17" s="15"/>
      <c r="M17" s="16"/>
      <c r="N17" s="15"/>
      <c r="O17" s="16"/>
      <c r="P17" s="17"/>
    </row>
    <row r="18" spans="1:16">
      <c r="A18" s="18" t="str">
        <f t="shared" si="0"/>
        <v>20260723-014</v>
      </c>
      <c r="B18" s="19">
        <f t="shared" si="1"/>
        <v>46226</v>
      </c>
      <c r="C18" s="20" t="s">
        <v>39</v>
      </c>
      <c r="D18" s="21"/>
      <c r="E18" s="22"/>
      <c r="F18" s="23"/>
      <c r="G18" s="24"/>
      <c r="H18" s="25">
        <v>1</v>
      </c>
      <c r="I18" s="26">
        <v>1</v>
      </c>
      <c r="J18" s="27"/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20260723-015</v>
      </c>
      <c r="B19" s="19">
        <f t="shared" si="1"/>
        <v>46226</v>
      </c>
      <c r="C19" s="20" t="s">
        <v>40</v>
      </c>
      <c r="D19" s="31"/>
      <c r="E19" s="22">
        <v>1</v>
      </c>
      <c r="F19" s="23"/>
      <c r="G19" s="24"/>
      <c r="H19" s="25"/>
      <c r="I19" s="26"/>
      <c r="J19" s="27"/>
      <c r="K19" s="28">
        <v>2</v>
      </c>
      <c r="L19" s="15"/>
      <c r="M19" s="16"/>
      <c r="N19" s="15"/>
      <c r="O19" s="16"/>
      <c r="P19" s="17"/>
    </row>
    <row r="20" spans="1:16">
      <c r="A20" s="18" t="str">
        <f t="shared" si="0"/>
        <v>20260723-016</v>
      </c>
      <c r="B20" s="19">
        <f t="shared" si="1"/>
        <v>46226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20260723-017</v>
      </c>
      <c r="B21" s="19">
        <f t="shared" si="1"/>
        <v>46226</v>
      </c>
      <c r="C21" s="20" t="s">
        <v>42</v>
      </c>
      <c r="D21" s="31"/>
      <c r="E21" s="22"/>
      <c r="F21" s="23"/>
      <c r="G21" s="24"/>
      <c r="H21" s="25"/>
      <c r="I21" s="26"/>
      <c r="J21" s="27"/>
      <c r="K21" s="28"/>
      <c r="L21" s="15"/>
      <c r="M21" s="16"/>
      <c r="N21" s="15"/>
      <c r="O21" s="16"/>
      <c r="P21" s="17"/>
    </row>
    <row r="22" spans="1:16">
      <c r="A22" s="18" t="str">
        <f t="shared" si="0"/>
        <v>20260723-018</v>
      </c>
      <c r="B22" s="19">
        <f t="shared" si="1"/>
        <v>46226</v>
      </c>
      <c r="C22" s="20" t="s">
        <v>43</v>
      </c>
      <c r="D22" s="21"/>
      <c r="E22" s="22"/>
      <c r="F22" s="23"/>
      <c r="G22" s="24"/>
      <c r="H22" s="25"/>
      <c r="I22" s="26"/>
      <c r="J22" s="27"/>
      <c r="K22" s="28"/>
      <c r="L22" s="15"/>
      <c r="M22" s="16"/>
      <c r="N22" s="15"/>
      <c r="O22" s="16"/>
      <c r="P22" s="30"/>
    </row>
    <row r="23" spans="1:16">
      <c r="A23" s="18" t="str">
        <f t="shared" si="0"/>
        <v>20260723-019</v>
      </c>
      <c r="B23" s="19">
        <f t="shared" si="1"/>
        <v>46226</v>
      </c>
      <c r="C23" s="20" t="s">
        <v>44</v>
      </c>
      <c r="D23" s="31"/>
      <c r="E23" s="22"/>
      <c r="F23" s="23"/>
      <c r="G23" s="24"/>
      <c r="H23" s="25">
        <v>1</v>
      </c>
      <c r="I23" s="26">
        <v>4</v>
      </c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20260723-020</v>
      </c>
      <c r="B24" s="19">
        <f t="shared" si="1"/>
        <v>46226</v>
      </c>
      <c r="C24" s="20" t="s">
        <v>45</v>
      </c>
      <c r="D24" s="21"/>
      <c r="E24" s="22"/>
      <c r="F24" s="23"/>
      <c r="G24" s="24"/>
      <c r="H24" s="25">
        <v>2</v>
      </c>
      <c r="I24" s="26">
        <v>6</v>
      </c>
      <c r="J24" s="27"/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20260723-021</v>
      </c>
      <c r="B25" s="19">
        <f t="shared" si="1"/>
        <v>46226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20260723-022</v>
      </c>
      <c r="B26" s="19">
        <f t="shared" si="1"/>
        <v>46226</v>
      </c>
      <c r="C26" s="20" t="s">
        <v>47</v>
      </c>
      <c r="D26" s="21"/>
      <c r="E26" s="22"/>
      <c r="F26" s="23"/>
      <c r="G26" s="24"/>
      <c r="H26" s="25"/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20260723-023</v>
      </c>
      <c r="B27" s="19">
        <f t="shared" si="1"/>
        <v>46226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20260723-024</v>
      </c>
      <c r="B28" s="19">
        <f t="shared" si="1"/>
        <v>46226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20260723-025</v>
      </c>
      <c r="B29" s="19">
        <f t="shared" si="1"/>
        <v>46226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20260723-026</v>
      </c>
      <c r="B30" s="19">
        <f t="shared" si="1"/>
        <v>46226</v>
      </c>
      <c r="C30" s="20" t="s">
        <v>51</v>
      </c>
      <c r="D30" s="21"/>
      <c r="E30" s="22"/>
      <c r="F30" s="23"/>
      <c r="G30" s="24"/>
      <c r="H30" s="25"/>
      <c r="I30" s="26"/>
      <c r="J30" s="27"/>
      <c r="K30" s="28"/>
      <c r="L30" s="15"/>
      <c r="M30" s="16"/>
      <c r="N30" s="15"/>
      <c r="O30" s="16"/>
      <c r="P30" s="30"/>
    </row>
    <row r="31" spans="1:16">
      <c r="A31" s="18" t="str">
        <f t="shared" si="0"/>
        <v>20260723-027</v>
      </c>
      <c r="B31" s="19">
        <f t="shared" si="1"/>
        <v>46226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20260723-028</v>
      </c>
      <c r="B32" s="19">
        <f t="shared" si="1"/>
        <v>46226</v>
      </c>
      <c r="C32" s="20" t="s">
        <v>53</v>
      </c>
      <c r="D32" s="21"/>
      <c r="E32" s="22">
        <v>1</v>
      </c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20260723-029</v>
      </c>
      <c r="B33" s="19">
        <f t="shared" si="1"/>
        <v>46226</v>
      </c>
      <c r="C33" s="20" t="s">
        <v>54</v>
      </c>
      <c r="D33" s="31"/>
      <c r="E33" s="22"/>
      <c r="F33" s="23"/>
      <c r="G33" s="24">
        <v>1</v>
      </c>
      <c r="H33" s="25"/>
      <c r="I33" s="26">
        <v>1</v>
      </c>
      <c r="J33" s="27"/>
      <c r="K33" s="28">
        <v>1</v>
      </c>
      <c r="L33" s="15"/>
      <c r="M33" s="16"/>
      <c r="N33" s="15"/>
      <c r="O33" s="16"/>
      <c r="P33" s="17"/>
    </row>
    <row r="34" spans="1:16">
      <c r="A34" s="18" t="str">
        <f t="shared" si="0"/>
        <v>20260723-030</v>
      </c>
      <c r="B34" s="19">
        <f t="shared" si="1"/>
        <v>46226</v>
      </c>
      <c r="C34" s="20" t="s">
        <v>55</v>
      </c>
      <c r="D34" s="21"/>
      <c r="E34" s="22">
        <v>1</v>
      </c>
      <c r="F34" s="23"/>
      <c r="G34" s="24"/>
      <c r="H34" s="25"/>
      <c r="I34" s="26"/>
      <c r="J34" s="27"/>
      <c r="K34" s="28">
        <v>1</v>
      </c>
      <c r="L34" s="15"/>
      <c r="M34" s="16"/>
      <c r="N34" s="15"/>
      <c r="O34" s="16"/>
      <c r="P34" s="30"/>
    </row>
    <row r="35" spans="1:16">
      <c r="A35" s="18" t="str">
        <f t="shared" si="0"/>
        <v>20260723-031</v>
      </c>
      <c r="B35" s="19">
        <f t="shared" si="1"/>
        <v>46226</v>
      </c>
      <c r="C35" s="20" t="s">
        <v>56</v>
      </c>
      <c r="D35" s="31"/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20260723-032</v>
      </c>
      <c r="B36" s="19">
        <f t="shared" si="1"/>
        <v>46226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20260723-033</v>
      </c>
      <c r="B37" s="19">
        <f t="shared" si="1"/>
        <v>46226</v>
      </c>
      <c r="C37" s="20" t="s">
        <v>58</v>
      </c>
      <c r="D37" s="31"/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20260723-034</v>
      </c>
      <c r="B38" s="19">
        <f t="shared" ref="B38:B69" si="3">$B$5</f>
        <v>46226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20260723-035</v>
      </c>
      <c r="B39" s="19">
        <f t="shared" si="3"/>
        <v>46226</v>
      </c>
      <c r="C39" s="20" t="s">
        <v>60</v>
      </c>
      <c r="D39" s="31"/>
      <c r="E39" s="22"/>
      <c r="F39" s="23"/>
      <c r="G39" s="24"/>
      <c r="H39" s="25"/>
      <c r="I39" s="26"/>
      <c r="J39" s="27"/>
      <c r="K39" s="28"/>
      <c r="L39" s="15"/>
      <c r="M39" s="16"/>
      <c r="N39" s="15"/>
      <c r="O39" s="16"/>
      <c r="P39" s="17"/>
    </row>
    <row r="40" spans="1:16">
      <c r="A40" s="18" t="str">
        <f t="shared" si="2"/>
        <v>20260723-036</v>
      </c>
      <c r="B40" s="19">
        <f t="shared" si="3"/>
        <v>46226</v>
      </c>
      <c r="C40" s="20" t="s">
        <v>61</v>
      </c>
      <c r="D40" s="21"/>
      <c r="E40" s="22"/>
      <c r="F40" s="23"/>
      <c r="G40" s="24"/>
      <c r="H40" s="25"/>
      <c r="I40" s="26"/>
      <c r="J40" s="27"/>
      <c r="K40" s="28"/>
      <c r="L40" s="15"/>
      <c r="M40" s="16"/>
      <c r="N40" s="15"/>
      <c r="O40" s="16"/>
      <c r="P40" s="30"/>
    </row>
    <row r="41" spans="1:16">
      <c r="A41" s="18" t="str">
        <f t="shared" si="2"/>
        <v>20260723-037</v>
      </c>
      <c r="B41" s="19">
        <f t="shared" si="3"/>
        <v>46226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20260723-038</v>
      </c>
      <c r="B42" s="19">
        <f t="shared" si="3"/>
        <v>46226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20260723-039</v>
      </c>
      <c r="B43" s="19">
        <f t="shared" si="3"/>
        <v>46226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20260723-040</v>
      </c>
      <c r="B44" s="19">
        <f t="shared" si="3"/>
        <v>46226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20260723-041</v>
      </c>
      <c r="B45" s="19">
        <f t="shared" si="3"/>
        <v>46226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20260723-042</v>
      </c>
      <c r="B46" s="19">
        <f t="shared" si="3"/>
        <v>46226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20260723-043</v>
      </c>
      <c r="B47" s="19">
        <f t="shared" si="3"/>
        <v>46226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20260723-044</v>
      </c>
      <c r="B48" s="19">
        <f t="shared" si="3"/>
        <v>46226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20260723-045</v>
      </c>
      <c r="B49" s="19">
        <f t="shared" si="3"/>
        <v>46226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20260723-046</v>
      </c>
      <c r="B50" s="19">
        <f t="shared" si="3"/>
        <v>46226</v>
      </c>
      <c r="C50" s="20" t="s">
        <v>71</v>
      </c>
      <c r="D50" s="21"/>
      <c r="E50" s="22">
        <v>1</v>
      </c>
      <c r="F50" s="23"/>
      <c r="G50" s="24"/>
      <c r="H50" s="25"/>
      <c r="I50" s="26"/>
      <c r="J50" s="27"/>
      <c r="K50" s="28">
        <v>1</v>
      </c>
      <c r="L50" s="15"/>
      <c r="M50" s="16"/>
      <c r="N50" s="15"/>
      <c r="O50" s="16"/>
      <c r="P50" s="30"/>
    </row>
    <row r="51" spans="1:16">
      <c r="A51" s="18" t="str">
        <f t="shared" si="2"/>
        <v>20260723-047</v>
      </c>
      <c r="B51" s="19">
        <f t="shared" si="3"/>
        <v>46226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20260723-048</v>
      </c>
      <c r="B52" s="19">
        <f t="shared" si="3"/>
        <v>46226</v>
      </c>
      <c r="C52" s="20" t="s">
        <v>73</v>
      </c>
      <c r="D52" s="21"/>
      <c r="E52" s="22"/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20260723-049</v>
      </c>
      <c r="B53" s="19">
        <f t="shared" si="3"/>
        <v>46226</v>
      </c>
      <c r="C53" s="20" t="s">
        <v>74</v>
      </c>
      <c r="D53" s="31"/>
      <c r="E53" s="22"/>
      <c r="F53" s="23"/>
      <c r="G53" s="24"/>
      <c r="H53" s="25">
        <v>3</v>
      </c>
      <c r="I53" s="26">
        <v>3</v>
      </c>
      <c r="J53" s="27">
        <v>1</v>
      </c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20260723-050</v>
      </c>
      <c r="B54" s="19">
        <f t="shared" si="3"/>
        <v>46226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20260723-051</v>
      </c>
      <c r="B55" s="19">
        <f t="shared" si="3"/>
        <v>46226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20260723-052</v>
      </c>
      <c r="B56" s="19">
        <f t="shared" si="3"/>
        <v>46226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20260723-053</v>
      </c>
      <c r="B57" s="19">
        <f t="shared" si="3"/>
        <v>46226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20260723-054</v>
      </c>
      <c r="B58" s="19">
        <f t="shared" si="3"/>
        <v>46226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20260723-055</v>
      </c>
      <c r="B59" s="19">
        <f t="shared" si="3"/>
        <v>46226</v>
      </c>
      <c r="C59" s="20" t="s">
        <v>80</v>
      </c>
      <c r="D59" s="31"/>
      <c r="E59" s="22"/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20260723-056</v>
      </c>
      <c r="B60" s="19">
        <f t="shared" si="3"/>
        <v>46226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20260723-057</v>
      </c>
      <c r="B61" s="19">
        <f t="shared" si="3"/>
        <v>46226</v>
      </c>
      <c r="C61" s="20" t="s">
        <v>82</v>
      </c>
      <c r="D61" s="21"/>
      <c r="E61" s="22"/>
      <c r="F61" s="23"/>
      <c r="G61" s="24"/>
      <c r="H61" s="25"/>
      <c r="I61" s="26"/>
      <c r="J61" s="27">
        <v>5</v>
      </c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20260723-058</v>
      </c>
      <c r="B62" s="19">
        <f t="shared" si="3"/>
        <v>46226</v>
      </c>
      <c r="C62" s="20" t="s">
        <v>83</v>
      </c>
      <c r="D62" s="31"/>
      <c r="E62" s="22"/>
      <c r="F62" s="23"/>
      <c r="G62" s="24"/>
      <c r="H62" s="25"/>
      <c r="I62" s="26"/>
      <c r="J62" s="27"/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20260723-059</v>
      </c>
      <c r="B63" s="19">
        <f t="shared" si="3"/>
        <v>46226</v>
      </c>
      <c r="C63" s="20" t="s">
        <v>84</v>
      </c>
      <c r="D63" s="21"/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20260723-060</v>
      </c>
      <c r="B64" s="19">
        <f t="shared" si="3"/>
        <v>46226</v>
      </c>
      <c r="C64" s="20" t="s">
        <v>85</v>
      </c>
      <c r="D64" s="31"/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20260723-061</v>
      </c>
      <c r="B65" s="19">
        <f t="shared" si="3"/>
        <v>46226</v>
      </c>
      <c r="C65" s="20" t="s">
        <v>86</v>
      </c>
      <c r="D65" s="21"/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20260723-062</v>
      </c>
      <c r="B66" s="19">
        <f t="shared" si="3"/>
        <v>46226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20260723-063</v>
      </c>
      <c r="B67" s="19">
        <f t="shared" si="3"/>
        <v>46226</v>
      </c>
      <c r="C67" s="20" t="s">
        <v>88</v>
      </c>
      <c r="D67" s="21"/>
      <c r="E67" s="22"/>
      <c r="F67" s="23"/>
      <c r="G67" s="24"/>
      <c r="H67" s="25"/>
      <c r="I67" s="26"/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20260723-064</v>
      </c>
      <c r="B68" s="19">
        <f t="shared" si="3"/>
        <v>46226</v>
      </c>
      <c r="C68" s="20" t="s">
        <v>89</v>
      </c>
      <c r="D68" s="31"/>
      <c r="E68" s="22"/>
      <c r="F68" s="23"/>
      <c r="G68" s="24"/>
      <c r="H68" s="25"/>
      <c r="I68" s="26"/>
      <c r="J68" s="27"/>
      <c r="K68" s="28"/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20260723-065</v>
      </c>
      <c r="B69" s="19">
        <f t="shared" si="3"/>
        <v>46226</v>
      </c>
      <c r="C69" s="20" t="s">
        <v>90</v>
      </c>
      <c r="D69" s="21"/>
      <c r="E69" s="22"/>
      <c r="F69" s="23"/>
      <c r="G69" s="24"/>
      <c r="H69" s="25"/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20260723-066</v>
      </c>
      <c r="B70" s="19">
        <f t="shared" ref="B70:B80" si="5">$B$5</f>
        <v>46226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20260723-067</v>
      </c>
      <c r="B71" s="19">
        <f t="shared" si="5"/>
        <v>46226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20260723-068</v>
      </c>
      <c r="B72" s="19">
        <f t="shared" si="5"/>
        <v>46226</v>
      </c>
      <c r="C72" s="20" t="s">
        <v>93</v>
      </c>
      <c r="D72" s="31"/>
      <c r="E72" s="22">
        <v>1</v>
      </c>
      <c r="F72" s="23"/>
      <c r="G72" s="24"/>
      <c r="H72" s="25"/>
      <c r="I72" s="26"/>
      <c r="J72" s="27"/>
      <c r="K72" s="28">
        <v>1</v>
      </c>
      <c r="L72" s="15"/>
      <c r="M72" s="16"/>
      <c r="N72" s="15"/>
      <c r="O72" s="16"/>
      <c r="P72" s="17"/>
    </row>
    <row r="73" spans="1:16">
      <c r="A73" s="18" t="str">
        <f t="shared" si="4"/>
        <v>20260723-069</v>
      </c>
      <c r="B73" s="19">
        <f t="shared" si="5"/>
        <v>46226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20260723-070</v>
      </c>
      <c r="B74" s="19">
        <f t="shared" si="5"/>
        <v>46226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/>
      <c r="M74" s="16"/>
      <c r="N74" s="15"/>
      <c r="O74" s="16"/>
    </row>
    <row r="75" spans="1:16">
      <c r="A75" s="18" t="str">
        <f t="shared" si="4"/>
        <v>20260723-071</v>
      </c>
      <c r="B75" s="19">
        <f t="shared" si="5"/>
        <v>46226</v>
      </c>
      <c r="C75" s="20" t="s">
        <v>96</v>
      </c>
      <c r="D75" s="21"/>
      <c r="E75" s="22"/>
      <c r="F75" s="23"/>
      <c r="G75" s="24">
        <v>2</v>
      </c>
      <c r="H75" s="25"/>
      <c r="I75" s="26"/>
      <c r="J75" s="27"/>
      <c r="K75" s="28">
        <v>3</v>
      </c>
      <c r="L75" s="15"/>
      <c r="M75" s="16"/>
      <c r="N75" s="15"/>
      <c r="O75" s="16"/>
      <c r="P75" s="30"/>
    </row>
    <row r="76" spans="1:16">
      <c r="A76" s="18" t="str">
        <f t="shared" si="4"/>
        <v>20260723-072</v>
      </c>
      <c r="B76" s="19">
        <f t="shared" si="5"/>
        <v>46226</v>
      </c>
      <c r="C76" s="20" t="s">
        <v>97</v>
      </c>
      <c r="D76" s="31"/>
      <c r="E76" s="22"/>
      <c r="F76" s="23"/>
      <c r="G76" s="24"/>
      <c r="H76" s="25"/>
      <c r="I76" s="26"/>
      <c r="J76" s="27"/>
      <c r="K76" s="28"/>
      <c r="L76" s="15"/>
      <c r="M76" s="16"/>
      <c r="N76" s="15"/>
      <c r="O76" s="16"/>
    </row>
    <row r="77" spans="1:16">
      <c r="A77" s="18" t="str">
        <f t="shared" si="4"/>
        <v>20260723-073</v>
      </c>
      <c r="B77" s="19">
        <f t="shared" si="5"/>
        <v>46226</v>
      </c>
      <c r="C77" s="20" t="s">
        <v>98</v>
      </c>
      <c r="D77" s="21"/>
      <c r="E77" s="22"/>
      <c r="F77" s="23"/>
      <c r="G77" s="24">
        <v>1</v>
      </c>
      <c r="H77" s="25"/>
      <c r="I77" s="26"/>
      <c r="J77" s="27"/>
      <c r="K77" s="28"/>
      <c r="L77" s="34"/>
      <c r="M77" s="16"/>
      <c r="N77" s="15"/>
      <c r="O77" s="16"/>
      <c r="P77" s="30"/>
    </row>
    <row r="78" spans="1:16">
      <c r="A78" s="18" t="str">
        <f t="shared" si="4"/>
        <v>20260723-074</v>
      </c>
      <c r="B78" s="19">
        <f t="shared" si="5"/>
        <v>46226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20260723-075</v>
      </c>
      <c r="B79" s="19">
        <f t="shared" si="5"/>
        <v>46226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20260723-076</v>
      </c>
      <c r="B80" s="19">
        <f t="shared" si="5"/>
        <v>46226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80"/>
  <sheetViews>
    <sheetView topLeftCell="B54" zoomScale="85" zoomScaleNormal="85" workbookViewId="0">
      <selection activeCell="S59" sqref="S59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20260724-001</v>
      </c>
      <c r="B5" s="5">
        <v>46227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20260724-002</v>
      </c>
      <c r="B6" s="19">
        <f t="shared" ref="B6:B37" si="1">$B$5</f>
        <v>46227</v>
      </c>
      <c r="C6" s="20" t="s">
        <v>28</v>
      </c>
      <c r="D6" s="21">
        <v>25</v>
      </c>
      <c r="E6" s="22">
        <v>5</v>
      </c>
      <c r="F6" s="23"/>
      <c r="G6" s="24">
        <v>8</v>
      </c>
      <c r="H6" s="25"/>
      <c r="I6" s="26"/>
      <c r="J6" s="27"/>
      <c r="K6" s="28">
        <v>21</v>
      </c>
      <c r="L6" s="15"/>
      <c r="M6" s="29"/>
      <c r="N6" s="15"/>
      <c r="O6" s="29"/>
      <c r="P6" s="30"/>
    </row>
    <row r="7" spans="1:16">
      <c r="A7" s="18" t="str">
        <f t="shared" si="0"/>
        <v>20260724-003</v>
      </c>
      <c r="B7" s="19">
        <f t="shared" si="1"/>
        <v>46227</v>
      </c>
      <c r="C7" s="20" t="s">
        <v>29</v>
      </c>
      <c r="D7" s="31"/>
      <c r="E7" s="22">
        <v>2</v>
      </c>
      <c r="F7" s="23"/>
      <c r="G7" s="24">
        <v>1</v>
      </c>
      <c r="H7" s="25"/>
      <c r="I7" s="26"/>
      <c r="J7" s="27"/>
      <c r="K7" s="28">
        <v>4</v>
      </c>
      <c r="L7" s="15"/>
      <c r="M7" s="29"/>
      <c r="N7" s="15"/>
      <c r="O7" s="29"/>
      <c r="P7" s="32"/>
    </row>
    <row r="8" spans="1:16">
      <c r="A8" s="18" t="str">
        <f t="shared" si="0"/>
        <v>20260724-004</v>
      </c>
      <c r="B8" s="19">
        <f t="shared" si="1"/>
        <v>46227</v>
      </c>
      <c r="C8" s="20" t="s">
        <v>30</v>
      </c>
      <c r="D8" s="21"/>
      <c r="E8" s="22"/>
      <c r="F8" s="23"/>
      <c r="G8" s="24"/>
      <c r="H8" s="25"/>
      <c r="I8" s="26"/>
      <c r="J8" s="27"/>
      <c r="K8" s="28"/>
      <c r="L8" s="15"/>
      <c r="M8" s="16"/>
      <c r="N8" s="15"/>
      <c r="O8" s="16"/>
      <c r="P8" s="30"/>
    </row>
    <row r="9" spans="1:16">
      <c r="A9" s="18" t="str">
        <f t="shared" si="0"/>
        <v>20260724-005</v>
      </c>
      <c r="B9" s="19">
        <f t="shared" si="1"/>
        <v>46227</v>
      </c>
      <c r="C9" s="20" t="s">
        <v>31</v>
      </c>
      <c r="D9" s="31"/>
      <c r="E9" s="22"/>
      <c r="F9" s="23"/>
      <c r="G9" s="24">
        <v>1</v>
      </c>
      <c r="H9" s="25"/>
      <c r="I9" s="26"/>
      <c r="J9" s="27"/>
      <c r="K9" s="28"/>
      <c r="L9" s="15"/>
      <c r="M9" s="29"/>
      <c r="N9" s="15"/>
      <c r="O9" s="29"/>
      <c r="P9" s="17"/>
    </row>
    <row r="10" spans="1:16">
      <c r="A10" s="18" t="str">
        <f t="shared" si="0"/>
        <v>20260724-006</v>
      </c>
      <c r="B10" s="19">
        <f t="shared" si="1"/>
        <v>46227</v>
      </c>
      <c r="C10" s="20" t="s">
        <v>32</v>
      </c>
      <c r="D10" s="21"/>
      <c r="E10" s="22"/>
      <c r="F10" s="23"/>
      <c r="G10" s="24"/>
      <c r="H10" s="25"/>
      <c r="I10" s="26">
        <v>2</v>
      </c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20260724-007</v>
      </c>
      <c r="B11" s="19">
        <f t="shared" si="1"/>
        <v>46227</v>
      </c>
      <c r="C11" s="20" t="s">
        <v>33</v>
      </c>
      <c r="D11" s="31"/>
      <c r="E11" s="22"/>
      <c r="F11" s="23"/>
      <c r="G11" s="24"/>
      <c r="H11" s="25">
        <v>30</v>
      </c>
      <c r="I11" s="26">
        <v>30</v>
      </c>
      <c r="J11" s="27">
        <v>15</v>
      </c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20260724-008</v>
      </c>
      <c r="B12" s="19">
        <f t="shared" si="1"/>
        <v>46227</v>
      </c>
      <c r="C12" s="33" t="s">
        <v>34</v>
      </c>
      <c r="D12" s="21">
        <v>10</v>
      </c>
      <c r="E12" s="22">
        <v>7</v>
      </c>
      <c r="F12" s="23"/>
      <c r="G12" s="24">
        <v>9</v>
      </c>
      <c r="H12" s="25"/>
      <c r="I12" s="26"/>
      <c r="J12" s="27"/>
      <c r="K12" s="28">
        <v>12</v>
      </c>
      <c r="L12" s="15"/>
      <c r="M12" s="16"/>
      <c r="N12" s="15"/>
      <c r="O12" s="16"/>
      <c r="P12" s="30"/>
    </row>
    <row r="13" spans="1:16">
      <c r="A13" s="18" t="str">
        <f t="shared" si="0"/>
        <v>20260724-009</v>
      </c>
      <c r="B13" s="19">
        <f t="shared" si="1"/>
        <v>46227</v>
      </c>
      <c r="C13" s="33" t="s">
        <v>104</v>
      </c>
      <c r="D13" s="31"/>
      <c r="E13" s="22"/>
      <c r="F13" s="23"/>
      <c r="G13" s="24"/>
      <c r="H13" s="25">
        <v>8</v>
      </c>
      <c r="I13" s="26">
        <v>4</v>
      </c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20260724-010</v>
      </c>
      <c r="B14" s="19">
        <f t="shared" si="1"/>
        <v>46227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20260724-011</v>
      </c>
      <c r="B15" s="19">
        <f t="shared" si="1"/>
        <v>46227</v>
      </c>
      <c r="C15" s="33" t="s">
        <v>36</v>
      </c>
      <c r="D15" s="31"/>
      <c r="E15" s="22"/>
      <c r="F15" s="23"/>
      <c r="G15" s="24"/>
      <c r="H15" s="25"/>
      <c r="I15" s="26"/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20260724-012</v>
      </c>
      <c r="B16" s="19">
        <f t="shared" si="1"/>
        <v>46227</v>
      </c>
      <c r="C16" s="20" t="s">
        <v>37</v>
      </c>
      <c r="D16" s="21"/>
      <c r="E16" s="22"/>
      <c r="F16" s="23"/>
      <c r="G16" s="24"/>
      <c r="H16" s="25"/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20260724-013</v>
      </c>
      <c r="B17" s="19">
        <f t="shared" si="1"/>
        <v>46227</v>
      </c>
      <c r="C17" s="20" t="s">
        <v>38</v>
      </c>
      <c r="D17" s="31"/>
      <c r="E17" s="22"/>
      <c r="F17" s="23"/>
      <c r="G17" s="24">
        <v>2</v>
      </c>
      <c r="H17" s="25">
        <v>3</v>
      </c>
      <c r="I17" s="26"/>
      <c r="J17" s="27">
        <v>4</v>
      </c>
      <c r="K17" s="28">
        <v>1</v>
      </c>
      <c r="L17" s="15"/>
      <c r="M17" s="16"/>
      <c r="N17" s="15"/>
      <c r="O17" s="16"/>
      <c r="P17" s="17"/>
    </row>
    <row r="18" spans="1:16">
      <c r="A18" s="18" t="str">
        <f t="shared" si="0"/>
        <v>20260724-014</v>
      </c>
      <c r="B18" s="19">
        <f t="shared" si="1"/>
        <v>46227</v>
      </c>
      <c r="C18" s="20" t="s">
        <v>39</v>
      </c>
      <c r="D18" s="21"/>
      <c r="E18" s="22"/>
      <c r="F18" s="23"/>
      <c r="G18" s="24"/>
      <c r="H18" s="25"/>
      <c r="I18" s="26"/>
      <c r="J18" s="27"/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20260724-015</v>
      </c>
      <c r="B19" s="19">
        <f t="shared" si="1"/>
        <v>46227</v>
      </c>
      <c r="C19" s="20" t="s">
        <v>40</v>
      </c>
      <c r="D19" s="31"/>
      <c r="E19" s="22">
        <v>1</v>
      </c>
      <c r="F19" s="23"/>
      <c r="G19" s="24"/>
      <c r="H19" s="25">
        <v>3</v>
      </c>
      <c r="I19" s="26">
        <v>2</v>
      </c>
      <c r="J19" s="27"/>
      <c r="K19" s="28"/>
      <c r="L19" s="15"/>
      <c r="M19" s="16"/>
      <c r="N19" s="15"/>
      <c r="O19" s="16"/>
      <c r="P19" s="17"/>
    </row>
    <row r="20" spans="1:16">
      <c r="A20" s="18" t="str">
        <f t="shared" si="0"/>
        <v>20260724-016</v>
      </c>
      <c r="B20" s="19">
        <f t="shared" si="1"/>
        <v>46227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20260724-017</v>
      </c>
      <c r="B21" s="19">
        <f t="shared" si="1"/>
        <v>46227</v>
      </c>
      <c r="C21" s="20" t="s">
        <v>42</v>
      </c>
      <c r="D21" s="31"/>
      <c r="E21" s="22"/>
      <c r="F21" s="23"/>
      <c r="G21" s="24"/>
      <c r="H21" s="25"/>
      <c r="I21" s="26"/>
      <c r="J21" s="27"/>
      <c r="K21" s="28"/>
      <c r="L21" s="15"/>
      <c r="M21" s="16"/>
      <c r="N21" s="15"/>
      <c r="O21" s="16"/>
      <c r="P21" s="17"/>
    </row>
    <row r="22" spans="1:16">
      <c r="A22" s="18" t="str">
        <f t="shared" si="0"/>
        <v>20260724-018</v>
      </c>
      <c r="B22" s="19">
        <f t="shared" si="1"/>
        <v>46227</v>
      </c>
      <c r="C22" s="20" t="s">
        <v>43</v>
      </c>
      <c r="D22" s="21"/>
      <c r="E22" s="22">
        <v>4</v>
      </c>
      <c r="F22" s="23"/>
      <c r="G22" s="24">
        <v>1</v>
      </c>
      <c r="H22" s="25">
        <v>6</v>
      </c>
      <c r="I22" s="26">
        <v>18</v>
      </c>
      <c r="J22" s="27"/>
      <c r="K22" s="28"/>
      <c r="L22" s="15"/>
      <c r="M22" s="16"/>
      <c r="N22" s="15"/>
      <c r="O22" s="16"/>
      <c r="P22" s="30"/>
    </row>
    <row r="23" spans="1:16">
      <c r="A23" s="18" t="str">
        <f t="shared" si="0"/>
        <v>20260724-019</v>
      </c>
      <c r="B23" s="19">
        <f t="shared" si="1"/>
        <v>46227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20260724-020</v>
      </c>
      <c r="B24" s="19">
        <f t="shared" si="1"/>
        <v>46227</v>
      </c>
      <c r="C24" s="20" t="s">
        <v>45</v>
      </c>
      <c r="D24" s="21"/>
      <c r="E24" s="22"/>
      <c r="F24" s="23"/>
      <c r="G24" s="24"/>
      <c r="H24" s="25">
        <v>3</v>
      </c>
      <c r="I24" s="26">
        <v>4</v>
      </c>
      <c r="J24" s="27">
        <v>3</v>
      </c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20260724-021</v>
      </c>
      <c r="B25" s="19">
        <f t="shared" si="1"/>
        <v>46227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20260724-022</v>
      </c>
      <c r="B26" s="19">
        <f t="shared" si="1"/>
        <v>46227</v>
      </c>
      <c r="C26" s="20" t="s">
        <v>47</v>
      </c>
      <c r="D26" s="21"/>
      <c r="E26" s="22"/>
      <c r="F26" s="23"/>
      <c r="G26" s="24"/>
      <c r="H26" s="25">
        <v>7</v>
      </c>
      <c r="I26" s="26">
        <v>4</v>
      </c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20260724-023</v>
      </c>
      <c r="B27" s="19">
        <f t="shared" si="1"/>
        <v>46227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20260724-024</v>
      </c>
      <c r="B28" s="19">
        <f t="shared" si="1"/>
        <v>46227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20260724-025</v>
      </c>
      <c r="B29" s="19">
        <f t="shared" si="1"/>
        <v>46227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20260724-026</v>
      </c>
      <c r="B30" s="19">
        <f t="shared" si="1"/>
        <v>46227</v>
      </c>
      <c r="C30" s="20" t="s">
        <v>51</v>
      </c>
      <c r="D30" s="21"/>
      <c r="E30" s="22">
        <v>2</v>
      </c>
      <c r="F30" s="23"/>
      <c r="G30" s="24">
        <v>2</v>
      </c>
      <c r="H30" s="25"/>
      <c r="I30" s="26"/>
      <c r="J30" s="27"/>
      <c r="K30" s="28">
        <v>5</v>
      </c>
      <c r="L30" s="15"/>
      <c r="M30" s="16"/>
      <c r="N30" s="15"/>
      <c r="O30" s="16"/>
      <c r="P30" s="30"/>
    </row>
    <row r="31" spans="1:16">
      <c r="A31" s="18" t="str">
        <f t="shared" si="0"/>
        <v>20260724-027</v>
      </c>
      <c r="B31" s="19">
        <f t="shared" si="1"/>
        <v>46227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20260724-028</v>
      </c>
      <c r="B32" s="19">
        <f t="shared" si="1"/>
        <v>46227</v>
      </c>
      <c r="C32" s="20" t="s">
        <v>53</v>
      </c>
      <c r="D32" s="21"/>
      <c r="E32" s="22">
        <v>10</v>
      </c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20260724-029</v>
      </c>
      <c r="B33" s="19">
        <f t="shared" si="1"/>
        <v>46227</v>
      </c>
      <c r="C33" s="20" t="s">
        <v>54</v>
      </c>
      <c r="D33" s="31"/>
      <c r="E33" s="22"/>
      <c r="F33" s="23"/>
      <c r="G33" s="24">
        <v>4</v>
      </c>
      <c r="H33" s="25"/>
      <c r="I33" s="26"/>
      <c r="J33" s="27"/>
      <c r="K33" s="28"/>
      <c r="L33" s="15"/>
      <c r="M33" s="16"/>
      <c r="N33" s="15"/>
      <c r="O33" s="16"/>
      <c r="P33" s="17"/>
    </row>
    <row r="34" spans="1:16">
      <c r="A34" s="18" t="str">
        <f t="shared" si="0"/>
        <v>20260724-030</v>
      </c>
      <c r="B34" s="19">
        <f t="shared" si="1"/>
        <v>46227</v>
      </c>
      <c r="C34" s="20" t="s">
        <v>55</v>
      </c>
      <c r="D34" s="21"/>
      <c r="E34" s="22">
        <v>1</v>
      </c>
      <c r="F34" s="23"/>
      <c r="G34" s="24"/>
      <c r="H34" s="25"/>
      <c r="I34" s="26"/>
      <c r="J34" s="27"/>
      <c r="K34" s="28">
        <v>1</v>
      </c>
      <c r="L34" s="15"/>
      <c r="M34" s="16"/>
      <c r="N34" s="15"/>
      <c r="O34" s="16"/>
      <c r="P34" s="30"/>
    </row>
    <row r="35" spans="1:16">
      <c r="A35" s="18" t="str">
        <f t="shared" si="0"/>
        <v>20260724-031</v>
      </c>
      <c r="B35" s="19">
        <f t="shared" si="1"/>
        <v>46227</v>
      </c>
      <c r="C35" s="20" t="s">
        <v>56</v>
      </c>
      <c r="D35" s="31"/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20260724-032</v>
      </c>
      <c r="B36" s="19">
        <f t="shared" si="1"/>
        <v>46227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20260724-033</v>
      </c>
      <c r="B37" s="19">
        <f t="shared" si="1"/>
        <v>46227</v>
      </c>
      <c r="C37" s="20" t="s">
        <v>58</v>
      </c>
      <c r="D37" s="31">
        <v>20</v>
      </c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20260724-034</v>
      </c>
      <c r="B38" s="19">
        <f t="shared" ref="B38:B69" si="3">$B$5</f>
        <v>46227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20260724-035</v>
      </c>
      <c r="B39" s="19">
        <f t="shared" si="3"/>
        <v>46227</v>
      </c>
      <c r="C39" s="20" t="s">
        <v>60</v>
      </c>
      <c r="D39" s="31"/>
      <c r="E39" s="22"/>
      <c r="F39" s="23"/>
      <c r="G39" s="24">
        <v>1</v>
      </c>
      <c r="H39" s="25"/>
      <c r="I39" s="26"/>
      <c r="J39" s="27"/>
      <c r="K39" s="28">
        <v>1</v>
      </c>
      <c r="L39" s="15"/>
      <c r="M39" s="16"/>
      <c r="N39" s="15"/>
      <c r="O39" s="16"/>
      <c r="P39" s="17"/>
    </row>
    <row r="40" spans="1:16">
      <c r="A40" s="18" t="str">
        <f t="shared" si="2"/>
        <v>20260724-036</v>
      </c>
      <c r="B40" s="19">
        <f t="shared" si="3"/>
        <v>46227</v>
      </c>
      <c r="C40" s="20" t="s">
        <v>61</v>
      </c>
      <c r="D40" s="21"/>
      <c r="E40" s="22"/>
      <c r="F40" s="23">
        <v>2</v>
      </c>
      <c r="G40" s="24"/>
      <c r="H40" s="25"/>
      <c r="I40" s="26"/>
      <c r="J40" s="27"/>
      <c r="K40" s="28">
        <v>2</v>
      </c>
      <c r="L40" s="15"/>
      <c r="M40" s="16"/>
      <c r="N40" s="15"/>
      <c r="O40" s="16"/>
      <c r="P40" s="30"/>
    </row>
    <row r="41" spans="1:16">
      <c r="A41" s="18" t="str">
        <f t="shared" si="2"/>
        <v>20260724-037</v>
      </c>
      <c r="B41" s="19">
        <f t="shared" si="3"/>
        <v>46227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20260724-038</v>
      </c>
      <c r="B42" s="19">
        <f t="shared" si="3"/>
        <v>46227</v>
      </c>
      <c r="C42" s="20" t="s">
        <v>63</v>
      </c>
      <c r="D42" s="21"/>
      <c r="E42" s="22">
        <v>3</v>
      </c>
      <c r="F42" s="23"/>
      <c r="G42" s="24"/>
      <c r="H42" s="25"/>
      <c r="I42" s="26"/>
      <c r="J42" s="27"/>
      <c r="K42" s="28">
        <v>2</v>
      </c>
      <c r="L42" s="15"/>
      <c r="M42" s="16"/>
      <c r="N42" s="15"/>
      <c r="O42" s="16"/>
      <c r="P42" s="30"/>
    </row>
    <row r="43" spans="1:16">
      <c r="A43" s="18" t="str">
        <f t="shared" si="2"/>
        <v>20260724-039</v>
      </c>
      <c r="B43" s="19">
        <f t="shared" si="3"/>
        <v>46227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20260724-040</v>
      </c>
      <c r="B44" s="19">
        <f t="shared" si="3"/>
        <v>46227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20260724-041</v>
      </c>
      <c r="B45" s="19">
        <f t="shared" si="3"/>
        <v>46227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20260724-042</v>
      </c>
      <c r="B46" s="19">
        <f t="shared" si="3"/>
        <v>46227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20260724-043</v>
      </c>
      <c r="B47" s="19">
        <f t="shared" si="3"/>
        <v>46227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20260724-044</v>
      </c>
      <c r="B48" s="19">
        <f t="shared" si="3"/>
        <v>46227</v>
      </c>
      <c r="C48" s="20" t="s">
        <v>69</v>
      </c>
      <c r="D48" s="21"/>
      <c r="E48" s="22"/>
      <c r="F48" s="23"/>
      <c r="G48" s="24">
        <v>1</v>
      </c>
      <c r="H48" s="25"/>
      <c r="I48" s="26"/>
      <c r="J48" s="27"/>
      <c r="K48" s="28">
        <v>1</v>
      </c>
      <c r="L48" s="15"/>
      <c r="M48" s="16"/>
      <c r="N48" s="15"/>
      <c r="O48" s="16"/>
      <c r="P48" s="30"/>
    </row>
    <row r="49" spans="1:16">
      <c r="A49" s="18" t="str">
        <f t="shared" si="2"/>
        <v>20260724-045</v>
      </c>
      <c r="B49" s="19">
        <f t="shared" si="3"/>
        <v>46227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20260724-046</v>
      </c>
      <c r="B50" s="19">
        <f t="shared" si="3"/>
        <v>46227</v>
      </c>
      <c r="C50" s="20" t="s">
        <v>71</v>
      </c>
      <c r="D50" s="21"/>
      <c r="E50" s="22">
        <v>1</v>
      </c>
      <c r="F50" s="23"/>
      <c r="G50" s="24"/>
      <c r="H50" s="25"/>
      <c r="I50" s="26"/>
      <c r="J50" s="27"/>
      <c r="K50" s="28">
        <v>1</v>
      </c>
      <c r="L50" s="15"/>
      <c r="M50" s="16"/>
      <c r="N50" s="15"/>
      <c r="O50" s="16"/>
      <c r="P50" s="30"/>
    </row>
    <row r="51" spans="1:16">
      <c r="A51" s="18" t="str">
        <f t="shared" si="2"/>
        <v>20260724-047</v>
      </c>
      <c r="B51" s="19">
        <f t="shared" si="3"/>
        <v>46227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20260724-048</v>
      </c>
      <c r="B52" s="19">
        <f t="shared" si="3"/>
        <v>46227</v>
      </c>
      <c r="C52" s="20" t="s">
        <v>73</v>
      </c>
      <c r="D52" s="21"/>
      <c r="E52" s="22">
        <v>2</v>
      </c>
      <c r="F52" s="23"/>
      <c r="G52" s="24"/>
      <c r="H52" s="25"/>
      <c r="I52" s="26"/>
      <c r="J52" s="27"/>
      <c r="K52" s="28">
        <v>3</v>
      </c>
      <c r="L52" s="15"/>
      <c r="M52" s="16"/>
      <c r="N52" s="15"/>
      <c r="O52" s="16"/>
      <c r="P52" s="30"/>
    </row>
    <row r="53" spans="1:16">
      <c r="A53" s="18" t="str">
        <f t="shared" si="2"/>
        <v>20260724-049</v>
      </c>
      <c r="B53" s="19">
        <f t="shared" si="3"/>
        <v>46227</v>
      </c>
      <c r="C53" s="20" t="s">
        <v>74</v>
      </c>
      <c r="D53" s="31"/>
      <c r="E53" s="22"/>
      <c r="F53" s="23"/>
      <c r="G53" s="24"/>
      <c r="H53" s="25"/>
      <c r="I53" s="26">
        <v>2</v>
      </c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20260724-050</v>
      </c>
      <c r="B54" s="19">
        <f t="shared" si="3"/>
        <v>46227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20260724-051</v>
      </c>
      <c r="B55" s="19">
        <f t="shared" si="3"/>
        <v>46227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20260724-052</v>
      </c>
      <c r="B56" s="19">
        <f t="shared" si="3"/>
        <v>46227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20260724-053</v>
      </c>
      <c r="B57" s="19">
        <f t="shared" si="3"/>
        <v>46227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20260724-054</v>
      </c>
      <c r="B58" s="19">
        <f t="shared" si="3"/>
        <v>46227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20260724-055</v>
      </c>
      <c r="B59" s="19">
        <f t="shared" si="3"/>
        <v>46227</v>
      </c>
      <c r="C59" s="20" t="s">
        <v>80</v>
      </c>
      <c r="D59" s="31"/>
      <c r="E59" s="22"/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20260724-056</v>
      </c>
      <c r="B60" s="19">
        <f t="shared" si="3"/>
        <v>46227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20260724-057</v>
      </c>
      <c r="B61" s="19">
        <f t="shared" si="3"/>
        <v>46227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20260724-058</v>
      </c>
      <c r="B62" s="19">
        <f t="shared" si="3"/>
        <v>46227</v>
      </c>
      <c r="C62" s="20" t="s">
        <v>83</v>
      </c>
      <c r="D62" s="31"/>
      <c r="E62" s="22"/>
      <c r="F62" s="23"/>
      <c r="G62" s="24"/>
      <c r="H62" s="25">
        <v>12</v>
      </c>
      <c r="I62" s="26">
        <v>10</v>
      </c>
      <c r="J62" s="27"/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20260724-059</v>
      </c>
      <c r="B63" s="19">
        <f t="shared" si="3"/>
        <v>46227</v>
      </c>
      <c r="C63" s="20" t="s">
        <v>84</v>
      </c>
      <c r="D63" s="21">
        <v>20</v>
      </c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20260724-060</v>
      </c>
      <c r="B64" s="19">
        <f t="shared" si="3"/>
        <v>46227</v>
      </c>
      <c r="C64" s="20" t="s">
        <v>85</v>
      </c>
      <c r="D64" s="31">
        <v>10</v>
      </c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20260724-061</v>
      </c>
      <c r="B65" s="19">
        <f t="shared" si="3"/>
        <v>46227</v>
      </c>
      <c r="C65" s="20" t="s">
        <v>86</v>
      </c>
      <c r="D65" s="21">
        <v>55</v>
      </c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20260724-062</v>
      </c>
      <c r="B66" s="19">
        <f t="shared" si="3"/>
        <v>46227</v>
      </c>
      <c r="C66" s="20" t="s">
        <v>87</v>
      </c>
      <c r="D66" s="31">
        <v>10</v>
      </c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20260724-063</v>
      </c>
      <c r="B67" s="19">
        <f t="shared" si="3"/>
        <v>46227</v>
      </c>
      <c r="C67" s="20" t="s">
        <v>88</v>
      </c>
      <c r="D67" s="21"/>
      <c r="E67" s="22"/>
      <c r="F67" s="23"/>
      <c r="G67" s="24"/>
      <c r="H67" s="25">
        <v>8</v>
      </c>
      <c r="I67" s="26">
        <v>5</v>
      </c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20260724-064</v>
      </c>
      <c r="B68" s="19">
        <f t="shared" si="3"/>
        <v>46227</v>
      </c>
      <c r="C68" s="20" t="s">
        <v>89</v>
      </c>
      <c r="D68" s="31"/>
      <c r="E68" s="22">
        <v>5</v>
      </c>
      <c r="F68" s="23"/>
      <c r="G68" s="24"/>
      <c r="H68" s="25"/>
      <c r="I68" s="26"/>
      <c r="J68" s="27"/>
      <c r="K68" s="28">
        <v>3</v>
      </c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20260724-065</v>
      </c>
      <c r="B69" s="19">
        <f t="shared" si="3"/>
        <v>46227</v>
      </c>
      <c r="C69" s="20" t="s">
        <v>90</v>
      </c>
      <c r="D69" s="21"/>
      <c r="E69" s="22"/>
      <c r="F69" s="23"/>
      <c r="G69" s="24"/>
      <c r="H69" s="25">
        <v>2</v>
      </c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20260724-066</v>
      </c>
      <c r="B70" s="19">
        <f t="shared" ref="B70:B80" si="5">$B$5</f>
        <v>46227</v>
      </c>
      <c r="C70" s="20" t="s">
        <v>91</v>
      </c>
      <c r="D70" s="31"/>
      <c r="E70" s="22"/>
      <c r="F70" s="23"/>
      <c r="G70" s="24">
        <v>1</v>
      </c>
      <c r="H70" s="25"/>
      <c r="I70" s="26"/>
      <c r="J70" s="27">
        <v>1</v>
      </c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20260724-067</v>
      </c>
      <c r="B71" s="19">
        <f t="shared" si="5"/>
        <v>46227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20260724-068</v>
      </c>
      <c r="B72" s="19">
        <f t="shared" si="5"/>
        <v>46227</v>
      </c>
      <c r="C72" s="20" t="s">
        <v>93</v>
      </c>
      <c r="D72" s="31"/>
      <c r="E72" s="22">
        <v>1</v>
      </c>
      <c r="F72" s="23"/>
      <c r="G72" s="24"/>
      <c r="H72" s="25"/>
      <c r="I72" s="26"/>
      <c r="J72" s="27"/>
      <c r="K72" s="28"/>
      <c r="L72" s="15"/>
      <c r="M72" s="16"/>
      <c r="N72" s="15"/>
      <c r="O72" s="16"/>
      <c r="P72" s="17"/>
    </row>
    <row r="73" spans="1:16">
      <c r="A73" s="18" t="str">
        <f t="shared" si="4"/>
        <v>20260724-069</v>
      </c>
      <c r="B73" s="19">
        <f t="shared" si="5"/>
        <v>46227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20260724-070</v>
      </c>
      <c r="B74" s="19">
        <f t="shared" si="5"/>
        <v>46227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2</v>
      </c>
      <c r="M74" s="16">
        <v>3</v>
      </c>
      <c r="N74" s="15"/>
      <c r="O74" s="16"/>
    </row>
    <row r="75" spans="1:16">
      <c r="A75" s="18" t="str">
        <f t="shared" si="4"/>
        <v>20260724-071</v>
      </c>
      <c r="B75" s="19">
        <f t="shared" si="5"/>
        <v>46227</v>
      </c>
      <c r="C75" s="20" t="s">
        <v>96</v>
      </c>
      <c r="D75" s="21"/>
      <c r="E75" s="22"/>
      <c r="F75" s="23"/>
      <c r="G75" s="24">
        <v>2</v>
      </c>
      <c r="H75" s="25"/>
      <c r="I75" s="26"/>
      <c r="J75" s="27"/>
      <c r="K75" s="28">
        <v>2</v>
      </c>
      <c r="L75" s="15"/>
      <c r="M75" s="16"/>
      <c r="N75" s="15"/>
      <c r="O75" s="16"/>
      <c r="P75" s="30"/>
    </row>
    <row r="76" spans="1:16">
      <c r="A76" s="18" t="str">
        <f t="shared" si="4"/>
        <v>20260724-072</v>
      </c>
      <c r="B76" s="19">
        <f t="shared" si="5"/>
        <v>46227</v>
      </c>
      <c r="C76" s="20" t="s">
        <v>97</v>
      </c>
      <c r="D76" s="31"/>
      <c r="E76" s="22"/>
      <c r="F76" s="23"/>
      <c r="G76" s="24">
        <v>2</v>
      </c>
      <c r="H76" s="25"/>
      <c r="I76" s="26"/>
      <c r="J76" s="27"/>
      <c r="K76" s="28">
        <v>2</v>
      </c>
      <c r="L76" s="15"/>
      <c r="M76" s="16"/>
      <c r="N76" s="15"/>
      <c r="O76" s="16"/>
    </row>
    <row r="77" spans="1:16">
      <c r="A77" s="18" t="str">
        <f t="shared" si="4"/>
        <v>20260724-073</v>
      </c>
      <c r="B77" s="19">
        <f t="shared" si="5"/>
        <v>46227</v>
      </c>
      <c r="C77" s="20" t="s">
        <v>98</v>
      </c>
      <c r="D77" s="21"/>
      <c r="E77" s="22"/>
      <c r="F77" s="23"/>
      <c r="G77" s="24">
        <v>1</v>
      </c>
      <c r="H77" s="25"/>
      <c r="I77" s="26"/>
      <c r="J77" s="27"/>
      <c r="K77" s="28"/>
      <c r="L77" s="34">
        <v>2</v>
      </c>
      <c r="M77" s="16"/>
      <c r="N77" s="15"/>
      <c r="O77" s="16"/>
      <c r="P77" s="30"/>
    </row>
    <row r="78" spans="1:16">
      <c r="A78" s="18" t="str">
        <f t="shared" si="4"/>
        <v>20260724-074</v>
      </c>
      <c r="B78" s="19">
        <f t="shared" si="5"/>
        <v>46227</v>
      </c>
      <c r="C78" s="20" t="s">
        <v>99</v>
      </c>
      <c r="D78" s="31"/>
      <c r="E78" s="22">
        <v>1</v>
      </c>
      <c r="F78" s="23"/>
      <c r="G78" s="24"/>
      <c r="H78" s="25"/>
      <c r="I78" s="26"/>
      <c r="J78" s="27"/>
      <c r="K78" s="28">
        <v>1</v>
      </c>
      <c r="L78" s="15"/>
      <c r="M78" s="16"/>
      <c r="N78" s="15"/>
      <c r="O78" s="16"/>
    </row>
    <row r="79" spans="1:16">
      <c r="A79" s="18" t="str">
        <f t="shared" si="4"/>
        <v>20260724-075</v>
      </c>
      <c r="B79" s="19">
        <f t="shared" si="5"/>
        <v>46227</v>
      </c>
      <c r="C79" s="20" t="s">
        <v>100</v>
      </c>
      <c r="D79" s="21"/>
      <c r="E79" s="22">
        <v>1</v>
      </c>
      <c r="F79" s="23"/>
      <c r="G79" s="24"/>
      <c r="H79" s="25"/>
      <c r="I79" s="26"/>
      <c r="J79" s="27"/>
      <c r="K79" s="28">
        <v>1</v>
      </c>
      <c r="L79" s="15"/>
      <c r="M79" s="16"/>
      <c r="N79" s="15"/>
      <c r="O79" s="16"/>
      <c r="P79" s="30"/>
    </row>
    <row r="80" spans="1:16">
      <c r="A80" s="18" t="str">
        <f t="shared" si="4"/>
        <v>20260724-076</v>
      </c>
      <c r="B80" s="19">
        <f t="shared" si="5"/>
        <v>46227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80"/>
  <sheetViews>
    <sheetView topLeftCell="C1" workbookViewId="0">
      <selection activeCell="K60" sqref="K60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20260725-001</v>
      </c>
      <c r="B5" s="5">
        <v>46228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20260725-002</v>
      </c>
      <c r="B6" s="19">
        <f t="shared" ref="B6:B37" si="1">$B$5</f>
        <v>46228</v>
      </c>
      <c r="C6" s="20" t="s">
        <v>28</v>
      </c>
      <c r="D6" s="21">
        <v>20</v>
      </c>
      <c r="E6" s="22">
        <v>4</v>
      </c>
      <c r="F6" s="23"/>
      <c r="G6" s="24">
        <v>9</v>
      </c>
      <c r="H6" s="25"/>
      <c r="I6" s="26"/>
      <c r="J6" s="27"/>
      <c r="K6" s="28">
        <v>9</v>
      </c>
      <c r="L6" s="15"/>
      <c r="M6" s="29"/>
      <c r="N6" s="15"/>
      <c r="O6" s="29"/>
      <c r="P6" s="30"/>
    </row>
    <row r="7" spans="1:16">
      <c r="A7" s="18" t="str">
        <f t="shared" si="0"/>
        <v>20260725-003</v>
      </c>
      <c r="B7" s="19">
        <f t="shared" si="1"/>
        <v>46228</v>
      </c>
      <c r="C7" s="20" t="s">
        <v>29</v>
      </c>
      <c r="D7" s="31"/>
      <c r="E7" s="22">
        <v>2</v>
      </c>
      <c r="F7" s="23"/>
      <c r="G7" s="24">
        <v>1</v>
      </c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20260725-004</v>
      </c>
      <c r="B8" s="19">
        <f t="shared" si="1"/>
        <v>46228</v>
      </c>
      <c r="C8" s="20" t="s">
        <v>30</v>
      </c>
      <c r="D8" s="21"/>
      <c r="E8" s="22">
        <v>3</v>
      </c>
      <c r="F8" s="23"/>
      <c r="G8" s="24">
        <v>1</v>
      </c>
      <c r="H8" s="25"/>
      <c r="I8" s="26"/>
      <c r="J8" s="27"/>
      <c r="K8" s="28">
        <v>3</v>
      </c>
      <c r="L8" s="15"/>
      <c r="M8" s="16"/>
      <c r="N8" s="15"/>
      <c r="O8" s="16"/>
      <c r="P8" s="30"/>
    </row>
    <row r="9" spans="1:16">
      <c r="A9" s="18" t="str">
        <f t="shared" si="0"/>
        <v>20260725-005</v>
      </c>
      <c r="B9" s="19">
        <f t="shared" si="1"/>
        <v>46228</v>
      </c>
      <c r="C9" s="20" t="s">
        <v>31</v>
      </c>
      <c r="D9" s="31"/>
      <c r="E9" s="22"/>
      <c r="F9" s="23"/>
      <c r="G9" s="24">
        <v>1</v>
      </c>
      <c r="H9" s="25"/>
      <c r="I9" s="26"/>
      <c r="J9" s="27"/>
      <c r="K9" s="28">
        <v>1</v>
      </c>
      <c r="L9" s="15"/>
      <c r="M9" s="29"/>
      <c r="N9" s="15"/>
      <c r="O9" s="29"/>
      <c r="P9" s="17"/>
    </row>
    <row r="10" spans="1:16">
      <c r="A10" s="18" t="str">
        <f t="shared" si="0"/>
        <v>20260725-006</v>
      </c>
      <c r="B10" s="19">
        <f t="shared" si="1"/>
        <v>46228</v>
      </c>
      <c r="C10" s="20" t="s">
        <v>32</v>
      </c>
      <c r="D10" s="21"/>
      <c r="E10" s="22"/>
      <c r="F10" s="23"/>
      <c r="G10" s="24"/>
      <c r="H10" s="25"/>
      <c r="I10" s="26"/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20260725-007</v>
      </c>
      <c r="B11" s="19">
        <f t="shared" si="1"/>
        <v>46228</v>
      </c>
      <c r="C11" s="20" t="s">
        <v>33</v>
      </c>
      <c r="D11" s="31"/>
      <c r="E11" s="22">
        <v>4</v>
      </c>
      <c r="F11" s="23"/>
      <c r="G11" s="24"/>
      <c r="H11" s="25">
        <v>50</v>
      </c>
      <c r="I11" s="26">
        <v>30</v>
      </c>
      <c r="J11" s="27">
        <v>15</v>
      </c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20260725-008</v>
      </c>
      <c r="B12" s="19">
        <f t="shared" si="1"/>
        <v>46228</v>
      </c>
      <c r="C12" s="33" t="s">
        <v>34</v>
      </c>
      <c r="D12" s="21">
        <v>10</v>
      </c>
      <c r="E12" s="22">
        <v>11</v>
      </c>
      <c r="F12" s="23"/>
      <c r="G12" s="24">
        <v>7</v>
      </c>
      <c r="H12" s="25"/>
      <c r="I12" s="26"/>
      <c r="J12" s="27"/>
      <c r="K12" s="28"/>
      <c r="L12" s="15"/>
      <c r="M12" s="16"/>
      <c r="N12" s="15"/>
      <c r="O12" s="16"/>
      <c r="P12" s="30"/>
    </row>
    <row r="13" spans="1:16">
      <c r="A13" s="18" t="str">
        <f t="shared" si="0"/>
        <v>20260725-009</v>
      </c>
      <c r="B13" s="19">
        <f t="shared" si="1"/>
        <v>46228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20260725-010</v>
      </c>
      <c r="B14" s="19">
        <f t="shared" si="1"/>
        <v>46228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20260725-011</v>
      </c>
      <c r="B15" s="19">
        <f t="shared" si="1"/>
        <v>46228</v>
      </c>
      <c r="C15" s="33" t="s">
        <v>36</v>
      </c>
      <c r="D15" s="31"/>
      <c r="E15" s="22"/>
      <c r="F15" s="23"/>
      <c r="G15" s="24"/>
      <c r="H15" s="25">
        <v>5</v>
      </c>
      <c r="I15" s="26">
        <v>12</v>
      </c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20260725-012</v>
      </c>
      <c r="B16" s="19">
        <f t="shared" si="1"/>
        <v>46228</v>
      </c>
      <c r="C16" s="20" t="s">
        <v>37</v>
      </c>
      <c r="D16" s="21"/>
      <c r="E16" s="22"/>
      <c r="F16" s="23"/>
      <c r="G16" s="24"/>
      <c r="H16" s="25">
        <v>6</v>
      </c>
      <c r="I16" s="26">
        <v>3</v>
      </c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20260725-013</v>
      </c>
      <c r="B17" s="19">
        <f t="shared" si="1"/>
        <v>46228</v>
      </c>
      <c r="C17" s="20" t="s">
        <v>38</v>
      </c>
      <c r="D17" s="31"/>
      <c r="E17" s="22"/>
      <c r="F17" s="23"/>
      <c r="G17" s="24">
        <v>1</v>
      </c>
      <c r="H17" s="25"/>
      <c r="I17" s="26"/>
      <c r="J17" s="27"/>
      <c r="K17" s="28"/>
      <c r="L17" s="15"/>
      <c r="M17" s="16"/>
      <c r="N17" s="15"/>
      <c r="O17" s="16"/>
      <c r="P17" s="17"/>
    </row>
    <row r="18" spans="1:16">
      <c r="A18" s="18" t="str">
        <f t="shared" si="0"/>
        <v>20260725-014</v>
      </c>
      <c r="B18" s="19">
        <f t="shared" si="1"/>
        <v>46228</v>
      </c>
      <c r="C18" s="20" t="s">
        <v>39</v>
      </c>
      <c r="D18" s="21"/>
      <c r="E18" s="22"/>
      <c r="F18" s="23"/>
      <c r="G18" s="24"/>
      <c r="H18" s="25">
        <v>1</v>
      </c>
      <c r="I18" s="26">
        <v>1</v>
      </c>
      <c r="J18" s="27">
        <v>1</v>
      </c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20260725-015</v>
      </c>
      <c r="B19" s="19">
        <f t="shared" si="1"/>
        <v>46228</v>
      </c>
      <c r="C19" s="20" t="s">
        <v>40</v>
      </c>
      <c r="D19" s="31"/>
      <c r="E19" s="22"/>
      <c r="F19" s="23"/>
      <c r="G19" s="24"/>
      <c r="H19" s="25"/>
      <c r="I19" s="26"/>
      <c r="J19" s="27"/>
      <c r="K19" s="28"/>
      <c r="L19" s="15"/>
      <c r="M19" s="16"/>
      <c r="N19" s="15"/>
      <c r="O19" s="16"/>
      <c r="P19" s="17"/>
    </row>
    <row r="20" spans="1:16">
      <c r="A20" s="18" t="str">
        <f t="shared" si="0"/>
        <v>20260725-016</v>
      </c>
      <c r="B20" s="19">
        <f t="shared" si="1"/>
        <v>46228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20260725-017</v>
      </c>
      <c r="B21" s="19">
        <f t="shared" si="1"/>
        <v>46228</v>
      </c>
      <c r="C21" s="20" t="s">
        <v>42</v>
      </c>
      <c r="D21" s="31"/>
      <c r="E21" s="22">
        <v>1</v>
      </c>
      <c r="F21" s="23"/>
      <c r="G21" s="24">
        <v>2</v>
      </c>
      <c r="H21" s="25"/>
      <c r="I21" s="26"/>
      <c r="J21" s="27"/>
      <c r="K21" s="28">
        <v>3</v>
      </c>
      <c r="L21" s="15"/>
      <c r="M21" s="16"/>
      <c r="N21" s="15"/>
      <c r="O21" s="16"/>
      <c r="P21" s="17"/>
    </row>
    <row r="22" spans="1:16">
      <c r="A22" s="18" t="str">
        <f t="shared" si="0"/>
        <v>20260725-018</v>
      </c>
      <c r="B22" s="19">
        <f t="shared" si="1"/>
        <v>46228</v>
      </c>
      <c r="C22" s="20" t="s">
        <v>43</v>
      </c>
      <c r="D22" s="21"/>
      <c r="E22" s="22">
        <v>1</v>
      </c>
      <c r="F22" s="23"/>
      <c r="G22" s="24">
        <v>1</v>
      </c>
      <c r="H22" s="25">
        <v>7</v>
      </c>
      <c r="I22" s="26">
        <v>4</v>
      </c>
      <c r="J22" s="27"/>
      <c r="K22" s="28">
        <v>7</v>
      </c>
      <c r="L22" s="15"/>
      <c r="M22" s="16"/>
      <c r="N22" s="15"/>
      <c r="O22" s="16"/>
      <c r="P22" s="30"/>
    </row>
    <row r="23" spans="1:16">
      <c r="A23" s="18" t="str">
        <f t="shared" si="0"/>
        <v>20260725-019</v>
      </c>
      <c r="B23" s="19">
        <f t="shared" si="1"/>
        <v>46228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20260725-020</v>
      </c>
      <c r="B24" s="19">
        <f t="shared" si="1"/>
        <v>46228</v>
      </c>
      <c r="C24" s="20" t="s">
        <v>45</v>
      </c>
      <c r="D24" s="21">
        <v>15</v>
      </c>
      <c r="E24" s="22"/>
      <c r="F24" s="23"/>
      <c r="G24" s="24"/>
      <c r="H24" s="25"/>
      <c r="I24" s="26"/>
      <c r="J24" s="27">
        <v>2</v>
      </c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20260725-021</v>
      </c>
      <c r="B25" s="19">
        <f t="shared" si="1"/>
        <v>46228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20260725-022</v>
      </c>
      <c r="B26" s="19">
        <f t="shared" si="1"/>
        <v>46228</v>
      </c>
      <c r="C26" s="20" t="s">
        <v>47</v>
      </c>
      <c r="D26" s="21"/>
      <c r="E26" s="22"/>
      <c r="F26" s="23"/>
      <c r="G26" s="24"/>
      <c r="H26" s="25"/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20260725-023</v>
      </c>
      <c r="B27" s="19">
        <f t="shared" si="1"/>
        <v>46228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20260725-024</v>
      </c>
      <c r="B28" s="19">
        <f t="shared" si="1"/>
        <v>46228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20260725-025</v>
      </c>
      <c r="B29" s="19">
        <f t="shared" si="1"/>
        <v>46228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20260725-026</v>
      </c>
      <c r="B30" s="19">
        <f t="shared" si="1"/>
        <v>46228</v>
      </c>
      <c r="C30" s="20" t="s">
        <v>51</v>
      </c>
      <c r="D30" s="21"/>
      <c r="E30" s="22"/>
      <c r="F30" s="23"/>
      <c r="G30" s="24">
        <v>2</v>
      </c>
      <c r="H30" s="25"/>
      <c r="I30" s="26"/>
      <c r="J30" s="27"/>
      <c r="K30" s="28"/>
      <c r="L30" s="15"/>
      <c r="M30" s="16"/>
      <c r="N30" s="15"/>
      <c r="O30" s="16"/>
      <c r="P30" s="30"/>
    </row>
    <row r="31" spans="1:16">
      <c r="A31" s="18" t="str">
        <f t="shared" si="0"/>
        <v>20260725-027</v>
      </c>
      <c r="B31" s="19">
        <f t="shared" si="1"/>
        <v>46228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20260725-028</v>
      </c>
      <c r="B32" s="19">
        <f t="shared" si="1"/>
        <v>46228</v>
      </c>
      <c r="C32" s="20" t="s">
        <v>53</v>
      </c>
      <c r="D32" s="21"/>
      <c r="E32" s="22"/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20260725-029</v>
      </c>
      <c r="B33" s="19">
        <f t="shared" si="1"/>
        <v>46228</v>
      </c>
      <c r="C33" s="20" t="s">
        <v>54</v>
      </c>
      <c r="D33" s="31"/>
      <c r="E33" s="22"/>
      <c r="F33" s="23"/>
      <c r="G33" s="24">
        <v>9</v>
      </c>
      <c r="H33" s="25"/>
      <c r="I33" s="26"/>
      <c r="J33" s="27"/>
      <c r="K33" s="28">
        <v>4</v>
      </c>
      <c r="L33" s="15"/>
      <c r="M33" s="16"/>
      <c r="N33" s="15"/>
      <c r="O33" s="16"/>
      <c r="P33" s="17"/>
    </row>
    <row r="34" spans="1:16">
      <c r="A34" s="18" t="str">
        <f t="shared" si="0"/>
        <v>20260725-030</v>
      </c>
      <c r="B34" s="19">
        <f t="shared" si="1"/>
        <v>46228</v>
      </c>
      <c r="C34" s="20" t="s">
        <v>55</v>
      </c>
      <c r="D34" s="21"/>
      <c r="E34" s="22"/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20260725-031</v>
      </c>
      <c r="B35" s="19">
        <f t="shared" si="1"/>
        <v>46228</v>
      </c>
      <c r="C35" s="20" t="s">
        <v>56</v>
      </c>
      <c r="D35" s="31">
        <v>15</v>
      </c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20260725-032</v>
      </c>
      <c r="B36" s="19">
        <f t="shared" si="1"/>
        <v>46228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20260725-033</v>
      </c>
      <c r="B37" s="19">
        <f t="shared" si="1"/>
        <v>46228</v>
      </c>
      <c r="C37" s="20" t="s">
        <v>58</v>
      </c>
      <c r="D37" s="31">
        <v>20</v>
      </c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20260725-034</v>
      </c>
      <c r="B38" s="19">
        <f t="shared" ref="B38:B69" si="3">$B$5</f>
        <v>46228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20260725-035</v>
      </c>
      <c r="B39" s="19">
        <f t="shared" si="3"/>
        <v>46228</v>
      </c>
      <c r="C39" s="20" t="s">
        <v>60</v>
      </c>
      <c r="D39" s="31"/>
      <c r="E39" s="22"/>
      <c r="F39" s="23"/>
      <c r="G39" s="24"/>
      <c r="H39" s="25"/>
      <c r="I39" s="26"/>
      <c r="J39" s="27"/>
      <c r="K39" s="28"/>
      <c r="L39" s="15"/>
      <c r="M39" s="16"/>
      <c r="N39" s="15"/>
      <c r="O39" s="16"/>
      <c r="P39" s="17"/>
    </row>
    <row r="40" spans="1:16">
      <c r="A40" s="18" t="str">
        <f t="shared" si="2"/>
        <v>20260725-036</v>
      </c>
      <c r="B40" s="19">
        <f t="shared" si="3"/>
        <v>46228</v>
      </c>
      <c r="C40" s="20" t="s">
        <v>61</v>
      </c>
      <c r="D40" s="21"/>
      <c r="E40" s="22"/>
      <c r="F40" s="23">
        <v>2</v>
      </c>
      <c r="G40" s="24"/>
      <c r="H40" s="25"/>
      <c r="I40" s="26"/>
      <c r="J40" s="27"/>
      <c r="K40" s="28">
        <v>1</v>
      </c>
      <c r="L40" s="15"/>
      <c r="M40" s="16"/>
      <c r="N40" s="15"/>
      <c r="O40" s="16"/>
      <c r="P40" s="30"/>
    </row>
    <row r="41" spans="1:16">
      <c r="A41" s="18" t="str">
        <f t="shared" si="2"/>
        <v>20260725-037</v>
      </c>
      <c r="B41" s="19">
        <f t="shared" si="3"/>
        <v>46228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20260725-038</v>
      </c>
      <c r="B42" s="19">
        <f t="shared" si="3"/>
        <v>46228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20260725-039</v>
      </c>
      <c r="B43" s="19">
        <f t="shared" si="3"/>
        <v>46228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20260725-040</v>
      </c>
      <c r="B44" s="19">
        <f t="shared" si="3"/>
        <v>46228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20260725-041</v>
      </c>
      <c r="B45" s="19">
        <f t="shared" si="3"/>
        <v>46228</v>
      </c>
      <c r="C45" s="20" t="s">
        <v>66</v>
      </c>
      <c r="D45" s="31"/>
      <c r="E45" s="22"/>
      <c r="F45" s="23"/>
      <c r="G45" s="24">
        <v>1</v>
      </c>
      <c r="H45" s="25"/>
      <c r="I45" s="26"/>
      <c r="J45" s="27"/>
      <c r="K45" s="28">
        <v>1</v>
      </c>
      <c r="L45" s="15"/>
      <c r="M45" s="16"/>
      <c r="N45" s="15"/>
      <c r="O45" s="16"/>
      <c r="P45" s="17"/>
    </row>
    <row r="46" spans="1:16">
      <c r="A46" s="18" t="str">
        <f t="shared" si="2"/>
        <v>20260725-042</v>
      </c>
      <c r="B46" s="19">
        <f t="shared" si="3"/>
        <v>46228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20260725-043</v>
      </c>
      <c r="B47" s="19">
        <f t="shared" si="3"/>
        <v>46228</v>
      </c>
      <c r="C47" s="20" t="s">
        <v>68</v>
      </c>
      <c r="D47" s="31"/>
      <c r="E47" s="22"/>
      <c r="F47" s="23"/>
      <c r="G47" s="24">
        <v>1</v>
      </c>
      <c r="H47" s="25"/>
      <c r="I47" s="26"/>
      <c r="J47" s="27"/>
      <c r="K47" s="28">
        <v>1</v>
      </c>
      <c r="L47" s="15"/>
      <c r="M47" s="16"/>
      <c r="N47" s="15"/>
      <c r="O47" s="16"/>
      <c r="P47" s="17"/>
    </row>
    <row r="48" spans="1:16">
      <c r="A48" s="18" t="str">
        <f t="shared" si="2"/>
        <v>20260725-044</v>
      </c>
      <c r="B48" s="19">
        <f t="shared" si="3"/>
        <v>46228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20260725-045</v>
      </c>
      <c r="B49" s="19">
        <f t="shared" si="3"/>
        <v>46228</v>
      </c>
      <c r="C49" s="20" t="s">
        <v>70</v>
      </c>
      <c r="D49" s="31"/>
      <c r="E49" s="22">
        <v>1</v>
      </c>
      <c r="F49" s="23"/>
      <c r="G49" s="24"/>
      <c r="H49" s="25"/>
      <c r="I49" s="26"/>
      <c r="J49" s="27"/>
      <c r="K49" s="28">
        <v>1</v>
      </c>
      <c r="L49" s="15"/>
      <c r="M49" s="16"/>
      <c r="N49" s="15"/>
      <c r="O49" s="16"/>
      <c r="P49" s="17"/>
    </row>
    <row r="50" spans="1:16">
      <c r="A50" s="18" t="str">
        <f t="shared" si="2"/>
        <v>20260725-046</v>
      </c>
      <c r="B50" s="19">
        <f t="shared" si="3"/>
        <v>46228</v>
      </c>
      <c r="C50" s="20" t="s">
        <v>71</v>
      </c>
      <c r="D50" s="21"/>
      <c r="E50" s="22">
        <v>1</v>
      </c>
      <c r="F50" s="23"/>
      <c r="G50" s="24"/>
      <c r="H50" s="25"/>
      <c r="I50" s="26"/>
      <c r="J50" s="27"/>
      <c r="K50" s="28">
        <v>1</v>
      </c>
      <c r="L50" s="15"/>
      <c r="M50" s="16"/>
      <c r="N50" s="15"/>
      <c r="O50" s="16"/>
      <c r="P50" s="30"/>
    </row>
    <row r="51" spans="1:16">
      <c r="A51" s="18" t="str">
        <f t="shared" si="2"/>
        <v>20260725-047</v>
      </c>
      <c r="B51" s="19">
        <f t="shared" si="3"/>
        <v>46228</v>
      </c>
      <c r="C51" s="20" t="s">
        <v>72</v>
      </c>
      <c r="D51" s="31"/>
      <c r="E51" s="22"/>
      <c r="F51" s="23"/>
      <c r="G51" s="24">
        <v>1</v>
      </c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20260725-048</v>
      </c>
      <c r="B52" s="19">
        <f t="shared" si="3"/>
        <v>46228</v>
      </c>
      <c r="C52" s="20" t="s">
        <v>73</v>
      </c>
      <c r="D52" s="21"/>
      <c r="E52" s="22"/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20260725-049</v>
      </c>
      <c r="B53" s="19">
        <f t="shared" si="3"/>
        <v>46228</v>
      </c>
      <c r="C53" s="20" t="s">
        <v>74</v>
      </c>
      <c r="D53" s="31"/>
      <c r="E53" s="22"/>
      <c r="F53" s="23"/>
      <c r="G53" s="24"/>
      <c r="H53" s="25">
        <v>2</v>
      </c>
      <c r="I53" s="26">
        <v>4</v>
      </c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20260725-050</v>
      </c>
      <c r="B54" s="19">
        <f t="shared" si="3"/>
        <v>46228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20260725-051</v>
      </c>
      <c r="B55" s="19">
        <f t="shared" si="3"/>
        <v>46228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20260725-052</v>
      </c>
      <c r="B56" s="19">
        <f t="shared" si="3"/>
        <v>46228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20260725-053</v>
      </c>
      <c r="B57" s="19">
        <f t="shared" si="3"/>
        <v>46228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20260725-054</v>
      </c>
      <c r="B58" s="19">
        <f t="shared" si="3"/>
        <v>46228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20260725-055</v>
      </c>
      <c r="B59" s="19">
        <f t="shared" si="3"/>
        <v>46228</v>
      </c>
      <c r="C59" s="20" t="s">
        <v>80</v>
      </c>
      <c r="D59" s="31"/>
      <c r="E59" s="22">
        <v>1</v>
      </c>
      <c r="F59" s="23"/>
      <c r="G59" s="24">
        <v>1</v>
      </c>
      <c r="H59" s="25"/>
      <c r="I59" s="26"/>
      <c r="J59" s="27"/>
      <c r="K59" s="28">
        <v>1</v>
      </c>
      <c r="L59" s="15"/>
      <c r="M59" s="16"/>
      <c r="N59" s="15"/>
      <c r="O59" s="16"/>
      <c r="P59" s="17"/>
    </row>
    <row r="60" spans="1:16">
      <c r="A60" s="18" t="str">
        <f t="shared" si="2"/>
        <v>20260725-056</v>
      </c>
      <c r="B60" s="19">
        <f t="shared" si="3"/>
        <v>46228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20260725-057</v>
      </c>
      <c r="B61" s="19">
        <f t="shared" si="3"/>
        <v>46228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20260725-058</v>
      </c>
      <c r="B62" s="19">
        <f t="shared" si="3"/>
        <v>46228</v>
      </c>
      <c r="C62" s="20" t="s">
        <v>83</v>
      </c>
      <c r="D62" s="31"/>
      <c r="E62" s="22"/>
      <c r="F62" s="23"/>
      <c r="G62" s="24"/>
      <c r="H62" s="25">
        <v>15</v>
      </c>
      <c r="I62" s="26">
        <v>10</v>
      </c>
      <c r="J62" s="27"/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20260725-059</v>
      </c>
      <c r="B63" s="19">
        <f t="shared" si="3"/>
        <v>46228</v>
      </c>
      <c r="C63" s="20" t="s">
        <v>84</v>
      </c>
      <c r="D63" s="21"/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20260725-060</v>
      </c>
      <c r="B64" s="19">
        <f t="shared" si="3"/>
        <v>46228</v>
      </c>
      <c r="C64" s="20" t="s">
        <v>85</v>
      </c>
      <c r="D64" s="31"/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20260725-061</v>
      </c>
      <c r="B65" s="19">
        <f t="shared" si="3"/>
        <v>46228</v>
      </c>
      <c r="C65" s="20" t="s">
        <v>86</v>
      </c>
      <c r="D65" s="21"/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20260725-062</v>
      </c>
      <c r="B66" s="19">
        <f t="shared" si="3"/>
        <v>46228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20260725-063</v>
      </c>
      <c r="B67" s="19">
        <f t="shared" si="3"/>
        <v>46228</v>
      </c>
      <c r="C67" s="20" t="s">
        <v>88</v>
      </c>
      <c r="D67" s="21"/>
      <c r="E67" s="22"/>
      <c r="F67" s="23"/>
      <c r="G67" s="24"/>
      <c r="H67" s="25"/>
      <c r="I67" s="26"/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20260725-064</v>
      </c>
      <c r="B68" s="19">
        <f t="shared" si="3"/>
        <v>46228</v>
      </c>
      <c r="C68" s="20" t="s">
        <v>89</v>
      </c>
      <c r="D68" s="31"/>
      <c r="E68" s="22"/>
      <c r="F68" s="23"/>
      <c r="G68" s="24"/>
      <c r="H68" s="25"/>
      <c r="I68" s="26"/>
      <c r="J68" s="27"/>
      <c r="K68" s="28"/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20260725-065</v>
      </c>
      <c r="B69" s="19">
        <f t="shared" si="3"/>
        <v>46228</v>
      </c>
      <c r="C69" s="20" t="s">
        <v>90</v>
      </c>
      <c r="D69" s="21"/>
      <c r="E69" s="22"/>
      <c r="F69" s="23"/>
      <c r="G69" s="24"/>
      <c r="H69" s="25"/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20260725-066</v>
      </c>
      <c r="B70" s="19">
        <f t="shared" ref="B70:B80" si="5">$B$5</f>
        <v>46228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20260725-067</v>
      </c>
      <c r="B71" s="19">
        <f t="shared" si="5"/>
        <v>46228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20260725-068</v>
      </c>
      <c r="B72" s="19">
        <f t="shared" si="5"/>
        <v>46228</v>
      </c>
      <c r="C72" s="20" t="s">
        <v>93</v>
      </c>
      <c r="D72" s="31"/>
      <c r="E72" s="22"/>
      <c r="F72" s="23"/>
      <c r="G72" s="24"/>
      <c r="H72" s="25"/>
      <c r="I72" s="26"/>
      <c r="J72" s="27"/>
      <c r="K72" s="28"/>
      <c r="L72" s="15"/>
      <c r="M72" s="16"/>
      <c r="N72" s="15"/>
      <c r="O72" s="16"/>
      <c r="P72" s="17"/>
    </row>
    <row r="73" spans="1:16">
      <c r="A73" s="18" t="str">
        <f t="shared" si="4"/>
        <v>20260725-069</v>
      </c>
      <c r="B73" s="19">
        <f t="shared" si="5"/>
        <v>46228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20260725-070</v>
      </c>
      <c r="B74" s="19">
        <f t="shared" si="5"/>
        <v>46228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1</v>
      </c>
      <c r="M74" s="16"/>
      <c r="N74" s="15"/>
      <c r="O74" s="16"/>
    </row>
    <row r="75" spans="1:16">
      <c r="A75" s="18" t="str">
        <f t="shared" si="4"/>
        <v>20260725-071</v>
      </c>
      <c r="B75" s="19">
        <f t="shared" si="5"/>
        <v>46228</v>
      </c>
      <c r="C75" s="20" t="s">
        <v>96</v>
      </c>
      <c r="D75" s="21"/>
      <c r="E75" s="22"/>
      <c r="F75" s="23"/>
      <c r="G75" s="24">
        <v>4</v>
      </c>
      <c r="H75" s="25"/>
      <c r="I75" s="26"/>
      <c r="J75" s="27"/>
      <c r="K75" s="28">
        <v>2</v>
      </c>
      <c r="L75" s="15"/>
      <c r="M75" s="16"/>
      <c r="N75" s="15"/>
      <c r="O75" s="16"/>
      <c r="P75" s="30"/>
    </row>
    <row r="76" spans="1:16">
      <c r="A76" s="18" t="str">
        <f t="shared" si="4"/>
        <v>20260725-072</v>
      </c>
      <c r="B76" s="19">
        <f t="shared" si="5"/>
        <v>46228</v>
      </c>
      <c r="C76" s="20" t="s">
        <v>97</v>
      </c>
      <c r="D76" s="31"/>
      <c r="E76" s="22"/>
      <c r="F76" s="23"/>
      <c r="G76" s="24">
        <v>2</v>
      </c>
      <c r="H76" s="25"/>
      <c r="I76" s="26"/>
      <c r="J76" s="27"/>
      <c r="K76" s="28">
        <v>1</v>
      </c>
      <c r="L76" s="15"/>
      <c r="M76" s="16"/>
      <c r="N76" s="15"/>
      <c r="O76" s="16"/>
    </row>
    <row r="77" spans="1:16">
      <c r="A77" s="18" t="str">
        <f t="shared" si="4"/>
        <v>20260725-073</v>
      </c>
      <c r="B77" s="19">
        <f t="shared" si="5"/>
        <v>46228</v>
      </c>
      <c r="C77" s="20" t="s">
        <v>98</v>
      </c>
      <c r="D77" s="21"/>
      <c r="E77" s="22"/>
      <c r="F77" s="23"/>
      <c r="G77" s="24">
        <v>2</v>
      </c>
      <c r="H77" s="25"/>
      <c r="I77" s="26"/>
      <c r="J77" s="27"/>
      <c r="K77" s="28"/>
      <c r="L77" s="34">
        <v>1</v>
      </c>
      <c r="M77" s="16"/>
      <c r="N77" s="15"/>
      <c r="O77" s="16"/>
      <c r="P77" s="30"/>
    </row>
    <row r="78" spans="1:16">
      <c r="A78" s="18" t="str">
        <f t="shared" si="4"/>
        <v>20260725-074</v>
      </c>
      <c r="B78" s="19">
        <f t="shared" si="5"/>
        <v>46228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20260725-075</v>
      </c>
      <c r="B79" s="19">
        <f t="shared" si="5"/>
        <v>46228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20260725-076</v>
      </c>
      <c r="B80" s="19">
        <f t="shared" si="5"/>
        <v>46228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80"/>
  <sheetViews>
    <sheetView workbookViewId="0">
      <selection activeCell="C14" sqref="C1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20260726-001</v>
      </c>
      <c r="B5" s="5">
        <v>46229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20260726-002</v>
      </c>
      <c r="B6" s="19">
        <f t="shared" ref="B6:B37" si="1">$B$5</f>
        <v>46229</v>
      </c>
      <c r="C6" s="20" t="s">
        <v>28</v>
      </c>
      <c r="D6" s="21"/>
      <c r="E6" s="22"/>
      <c r="F6" s="23"/>
      <c r="G6" s="24"/>
      <c r="H6" s="25"/>
      <c r="I6" s="26"/>
      <c r="J6" s="27"/>
      <c r="K6" s="28"/>
      <c r="L6" s="15"/>
      <c r="M6" s="29"/>
      <c r="N6" s="15"/>
      <c r="O6" s="29"/>
      <c r="P6" s="30"/>
    </row>
    <row r="7" spans="1:16">
      <c r="A7" s="18" t="str">
        <f t="shared" si="0"/>
        <v>20260726-003</v>
      </c>
      <c r="B7" s="19">
        <f t="shared" si="1"/>
        <v>46229</v>
      </c>
      <c r="C7" s="20" t="s">
        <v>29</v>
      </c>
      <c r="D7" s="31"/>
      <c r="E7" s="22"/>
      <c r="F7" s="23"/>
      <c r="G7" s="24"/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20260726-004</v>
      </c>
      <c r="B8" s="19">
        <f t="shared" si="1"/>
        <v>46229</v>
      </c>
      <c r="C8" s="20" t="s">
        <v>30</v>
      </c>
      <c r="D8" s="21"/>
      <c r="E8" s="22"/>
      <c r="F8" s="23"/>
      <c r="G8" s="24"/>
      <c r="H8" s="25"/>
      <c r="I8" s="26"/>
      <c r="J8" s="27"/>
      <c r="K8" s="28"/>
      <c r="L8" s="15"/>
      <c r="M8" s="16"/>
      <c r="N8" s="15"/>
      <c r="O8" s="16"/>
      <c r="P8" s="30"/>
    </row>
    <row r="9" spans="1:16">
      <c r="A9" s="18" t="str">
        <f t="shared" si="0"/>
        <v>20260726-005</v>
      </c>
      <c r="B9" s="19">
        <f t="shared" si="1"/>
        <v>46229</v>
      </c>
      <c r="C9" s="20" t="s">
        <v>31</v>
      </c>
      <c r="D9" s="31"/>
      <c r="E9" s="22"/>
      <c r="F9" s="23"/>
      <c r="G9" s="24"/>
      <c r="H9" s="25"/>
      <c r="I9" s="26"/>
      <c r="J9" s="27"/>
      <c r="K9" s="28"/>
      <c r="L9" s="15"/>
      <c r="M9" s="29"/>
      <c r="N9" s="15"/>
      <c r="O9" s="29"/>
      <c r="P9" s="17"/>
    </row>
    <row r="10" spans="1:16">
      <c r="A10" s="18" t="str">
        <f t="shared" si="0"/>
        <v>20260726-006</v>
      </c>
      <c r="B10" s="19">
        <f t="shared" si="1"/>
        <v>46229</v>
      </c>
      <c r="C10" s="20" t="s">
        <v>32</v>
      </c>
      <c r="D10" s="21"/>
      <c r="E10" s="22"/>
      <c r="F10" s="23"/>
      <c r="G10" s="24"/>
      <c r="H10" s="25"/>
      <c r="I10" s="26"/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20260726-007</v>
      </c>
      <c r="B11" s="19">
        <f t="shared" si="1"/>
        <v>46229</v>
      </c>
      <c r="C11" s="20" t="s">
        <v>33</v>
      </c>
      <c r="D11" s="31"/>
      <c r="E11" s="22"/>
      <c r="F11" s="23"/>
      <c r="G11" s="24"/>
      <c r="H11" s="25"/>
      <c r="I11" s="26"/>
      <c r="J11" s="27"/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20260726-008</v>
      </c>
      <c r="B12" s="19">
        <f t="shared" si="1"/>
        <v>46229</v>
      </c>
      <c r="C12" s="33" t="s">
        <v>34</v>
      </c>
      <c r="D12" s="21"/>
      <c r="E12" s="22"/>
      <c r="F12" s="23"/>
      <c r="G12" s="24"/>
      <c r="H12" s="25"/>
      <c r="I12" s="26"/>
      <c r="J12" s="27"/>
      <c r="K12" s="28"/>
      <c r="L12" s="15"/>
      <c r="M12" s="16"/>
      <c r="N12" s="15"/>
      <c r="O12" s="16"/>
      <c r="P12" s="30"/>
    </row>
    <row r="13" spans="1:16">
      <c r="A13" s="18" t="str">
        <f t="shared" si="0"/>
        <v>20260726-009</v>
      </c>
      <c r="B13" s="19">
        <f t="shared" si="1"/>
        <v>46229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20260726-010</v>
      </c>
      <c r="B14" s="19">
        <f t="shared" si="1"/>
        <v>46229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20260726-011</v>
      </c>
      <c r="B15" s="19">
        <f t="shared" si="1"/>
        <v>46229</v>
      </c>
      <c r="C15" s="33" t="s">
        <v>36</v>
      </c>
      <c r="D15" s="31"/>
      <c r="E15" s="22"/>
      <c r="F15" s="23"/>
      <c r="G15" s="24"/>
      <c r="H15" s="25"/>
      <c r="I15" s="26"/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20260726-012</v>
      </c>
      <c r="B16" s="19">
        <f t="shared" si="1"/>
        <v>46229</v>
      </c>
      <c r="C16" s="20" t="s">
        <v>37</v>
      </c>
      <c r="D16" s="21"/>
      <c r="E16" s="22"/>
      <c r="F16" s="23"/>
      <c r="G16" s="24"/>
      <c r="H16" s="25"/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20260726-013</v>
      </c>
      <c r="B17" s="19">
        <f t="shared" si="1"/>
        <v>46229</v>
      </c>
      <c r="C17" s="20" t="s">
        <v>38</v>
      </c>
      <c r="D17" s="31"/>
      <c r="E17" s="22"/>
      <c r="F17" s="23"/>
      <c r="G17" s="24"/>
      <c r="H17" s="25"/>
      <c r="I17" s="26"/>
      <c r="J17" s="27"/>
      <c r="K17" s="28"/>
      <c r="L17" s="15"/>
      <c r="M17" s="16"/>
      <c r="N17" s="15"/>
      <c r="O17" s="16"/>
      <c r="P17" s="17"/>
    </row>
    <row r="18" spans="1:16">
      <c r="A18" s="18" t="str">
        <f t="shared" si="0"/>
        <v>20260726-014</v>
      </c>
      <c r="B18" s="19">
        <f t="shared" si="1"/>
        <v>46229</v>
      </c>
      <c r="C18" s="20" t="s">
        <v>39</v>
      </c>
      <c r="D18" s="21"/>
      <c r="E18" s="22"/>
      <c r="F18" s="23"/>
      <c r="G18" s="24"/>
      <c r="H18" s="25"/>
      <c r="I18" s="26"/>
      <c r="J18" s="27"/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20260726-015</v>
      </c>
      <c r="B19" s="19">
        <f t="shared" si="1"/>
        <v>46229</v>
      </c>
      <c r="C19" s="20" t="s">
        <v>40</v>
      </c>
      <c r="D19" s="31"/>
      <c r="E19" s="22"/>
      <c r="F19" s="23"/>
      <c r="G19" s="24"/>
      <c r="H19" s="25"/>
      <c r="I19" s="26"/>
      <c r="J19" s="27"/>
      <c r="K19" s="28"/>
      <c r="L19" s="15"/>
      <c r="M19" s="16"/>
      <c r="N19" s="15"/>
      <c r="O19" s="16"/>
      <c r="P19" s="17"/>
    </row>
    <row r="20" spans="1:16">
      <c r="A20" s="18" t="str">
        <f t="shared" si="0"/>
        <v>20260726-016</v>
      </c>
      <c r="B20" s="19">
        <f t="shared" si="1"/>
        <v>46229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20260726-017</v>
      </c>
      <c r="B21" s="19">
        <f t="shared" si="1"/>
        <v>46229</v>
      </c>
      <c r="C21" s="20" t="s">
        <v>42</v>
      </c>
      <c r="D21" s="31"/>
      <c r="E21" s="22"/>
      <c r="F21" s="23"/>
      <c r="G21" s="24"/>
      <c r="H21" s="25"/>
      <c r="I21" s="26"/>
      <c r="J21" s="27"/>
      <c r="K21" s="28"/>
      <c r="L21" s="15"/>
      <c r="M21" s="16"/>
      <c r="N21" s="15"/>
      <c r="O21" s="16"/>
      <c r="P21" s="17"/>
    </row>
    <row r="22" spans="1:16">
      <c r="A22" s="18" t="str">
        <f t="shared" si="0"/>
        <v>20260726-018</v>
      </c>
      <c r="B22" s="19">
        <f t="shared" si="1"/>
        <v>46229</v>
      </c>
      <c r="C22" s="20" t="s">
        <v>43</v>
      </c>
      <c r="D22" s="21"/>
      <c r="E22" s="22"/>
      <c r="F22" s="23"/>
      <c r="G22" s="24"/>
      <c r="H22" s="25"/>
      <c r="I22" s="26"/>
      <c r="J22" s="27"/>
      <c r="K22" s="28"/>
      <c r="L22" s="15"/>
      <c r="M22" s="16"/>
      <c r="N22" s="15"/>
      <c r="O22" s="16"/>
      <c r="P22" s="30"/>
    </row>
    <row r="23" spans="1:16">
      <c r="A23" s="18" t="str">
        <f t="shared" si="0"/>
        <v>20260726-019</v>
      </c>
      <c r="B23" s="19">
        <f t="shared" si="1"/>
        <v>46229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20260726-020</v>
      </c>
      <c r="B24" s="19">
        <f t="shared" si="1"/>
        <v>46229</v>
      </c>
      <c r="C24" s="20" t="s">
        <v>45</v>
      </c>
      <c r="D24" s="21"/>
      <c r="E24" s="22"/>
      <c r="F24" s="23"/>
      <c r="G24" s="24"/>
      <c r="H24" s="25"/>
      <c r="I24" s="26"/>
      <c r="J24" s="27"/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20260726-021</v>
      </c>
      <c r="B25" s="19">
        <f t="shared" si="1"/>
        <v>46229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20260726-022</v>
      </c>
      <c r="B26" s="19">
        <f t="shared" si="1"/>
        <v>46229</v>
      </c>
      <c r="C26" s="20" t="s">
        <v>47</v>
      </c>
      <c r="D26" s="21"/>
      <c r="E26" s="22"/>
      <c r="F26" s="23"/>
      <c r="G26" s="24"/>
      <c r="H26" s="25"/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20260726-023</v>
      </c>
      <c r="B27" s="19">
        <f t="shared" si="1"/>
        <v>46229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20260726-024</v>
      </c>
      <c r="B28" s="19">
        <f t="shared" si="1"/>
        <v>46229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20260726-025</v>
      </c>
      <c r="B29" s="19">
        <f t="shared" si="1"/>
        <v>46229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20260726-026</v>
      </c>
      <c r="B30" s="19">
        <f t="shared" si="1"/>
        <v>46229</v>
      </c>
      <c r="C30" s="20" t="s">
        <v>51</v>
      </c>
      <c r="D30" s="21"/>
      <c r="E30" s="22"/>
      <c r="F30" s="23"/>
      <c r="G30" s="24"/>
      <c r="H30" s="25"/>
      <c r="I30" s="26"/>
      <c r="J30" s="27"/>
      <c r="K30" s="28"/>
      <c r="L30" s="15"/>
      <c r="M30" s="16"/>
      <c r="N30" s="15"/>
      <c r="O30" s="16"/>
      <c r="P30" s="30"/>
    </row>
    <row r="31" spans="1:16">
      <c r="A31" s="18" t="str">
        <f t="shared" si="0"/>
        <v>20260726-027</v>
      </c>
      <c r="B31" s="19">
        <f t="shared" si="1"/>
        <v>46229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20260726-028</v>
      </c>
      <c r="B32" s="19">
        <f t="shared" si="1"/>
        <v>46229</v>
      </c>
      <c r="C32" s="20" t="s">
        <v>53</v>
      </c>
      <c r="D32" s="21"/>
      <c r="E32" s="22"/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20260726-029</v>
      </c>
      <c r="B33" s="19">
        <f t="shared" si="1"/>
        <v>46229</v>
      </c>
      <c r="C33" s="20" t="s">
        <v>54</v>
      </c>
      <c r="D33" s="31"/>
      <c r="E33" s="22"/>
      <c r="F33" s="23"/>
      <c r="G33" s="24"/>
      <c r="H33" s="25"/>
      <c r="I33" s="26"/>
      <c r="J33" s="27"/>
      <c r="K33" s="28"/>
      <c r="L33" s="15"/>
      <c r="M33" s="16"/>
      <c r="N33" s="15"/>
      <c r="O33" s="16"/>
      <c r="P33" s="17"/>
    </row>
    <row r="34" spans="1:16">
      <c r="A34" s="18" t="str">
        <f t="shared" si="0"/>
        <v>20260726-030</v>
      </c>
      <c r="B34" s="19">
        <f t="shared" si="1"/>
        <v>46229</v>
      </c>
      <c r="C34" s="20" t="s">
        <v>55</v>
      </c>
      <c r="D34" s="21"/>
      <c r="E34" s="22"/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20260726-031</v>
      </c>
      <c r="B35" s="19">
        <f t="shared" si="1"/>
        <v>46229</v>
      </c>
      <c r="C35" s="20" t="s">
        <v>56</v>
      </c>
      <c r="D35" s="31"/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20260726-032</v>
      </c>
      <c r="B36" s="19">
        <f t="shared" si="1"/>
        <v>46229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20260726-033</v>
      </c>
      <c r="B37" s="19">
        <f t="shared" si="1"/>
        <v>46229</v>
      </c>
      <c r="C37" s="20" t="s">
        <v>58</v>
      </c>
      <c r="D37" s="31"/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20260726-034</v>
      </c>
      <c r="B38" s="19">
        <f t="shared" ref="B38:B69" si="3">$B$5</f>
        <v>46229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20260726-035</v>
      </c>
      <c r="B39" s="19">
        <f t="shared" si="3"/>
        <v>46229</v>
      </c>
      <c r="C39" s="20" t="s">
        <v>60</v>
      </c>
      <c r="D39" s="31"/>
      <c r="E39" s="22"/>
      <c r="F39" s="23"/>
      <c r="G39" s="24"/>
      <c r="H39" s="25"/>
      <c r="I39" s="26"/>
      <c r="J39" s="27"/>
      <c r="K39" s="28"/>
      <c r="L39" s="15"/>
      <c r="M39" s="16"/>
      <c r="N39" s="15"/>
      <c r="O39" s="16"/>
      <c r="P39" s="17"/>
    </row>
    <row r="40" spans="1:16">
      <c r="A40" s="18" t="str">
        <f t="shared" si="2"/>
        <v>20260726-036</v>
      </c>
      <c r="B40" s="19">
        <f t="shared" si="3"/>
        <v>46229</v>
      </c>
      <c r="C40" s="20" t="s">
        <v>61</v>
      </c>
      <c r="D40" s="21"/>
      <c r="E40" s="22"/>
      <c r="F40" s="23"/>
      <c r="G40" s="24"/>
      <c r="H40" s="25"/>
      <c r="I40" s="26"/>
      <c r="J40" s="27"/>
      <c r="K40" s="28"/>
      <c r="L40" s="15"/>
      <c r="M40" s="16"/>
      <c r="N40" s="15"/>
      <c r="O40" s="16"/>
      <c r="P40" s="30"/>
    </row>
    <row r="41" spans="1:16">
      <c r="A41" s="18" t="str">
        <f t="shared" si="2"/>
        <v>20260726-037</v>
      </c>
      <c r="B41" s="19">
        <f t="shared" si="3"/>
        <v>46229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20260726-038</v>
      </c>
      <c r="B42" s="19">
        <f t="shared" si="3"/>
        <v>46229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20260726-039</v>
      </c>
      <c r="B43" s="19">
        <f t="shared" si="3"/>
        <v>46229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20260726-040</v>
      </c>
      <c r="B44" s="19">
        <f t="shared" si="3"/>
        <v>46229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20260726-041</v>
      </c>
      <c r="B45" s="19">
        <f t="shared" si="3"/>
        <v>46229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20260726-042</v>
      </c>
      <c r="B46" s="19">
        <f t="shared" si="3"/>
        <v>46229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20260726-043</v>
      </c>
      <c r="B47" s="19">
        <f t="shared" si="3"/>
        <v>46229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20260726-044</v>
      </c>
      <c r="B48" s="19">
        <f t="shared" si="3"/>
        <v>46229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20260726-045</v>
      </c>
      <c r="B49" s="19">
        <f t="shared" si="3"/>
        <v>46229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20260726-046</v>
      </c>
      <c r="B50" s="19">
        <f t="shared" si="3"/>
        <v>46229</v>
      </c>
      <c r="C50" s="20" t="s">
        <v>71</v>
      </c>
      <c r="D50" s="21"/>
      <c r="E50" s="22"/>
      <c r="F50" s="23"/>
      <c r="G50" s="24"/>
      <c r="H50" s="25"/>
      <c r="I50" s="26"/>
      <c r="J50" s="27"/>
      <c r="K50" s="28"/>
      <c r="L50" s="15"/>
      <c r="M50" s="16"/>
      <c r="N50" s="15"/>
      <c r="O50" s="16"/>
      <c r="P50" s="30"/>
    </row>
    <row r="51" spans="1:16">
      <c r="A51" s="18" t="str">
        <f t="shared" si="2"/>
        <v>20260726-047</v>
      </c>
      <c r="B51" s="19">
        <f t="shared" si="3"/>
        <v>46229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20260726-048</v>
      </c>
      <c r="B52" s="19">
        <f t="shared" si="3"/>
        <v>46229</v>
      </c>
      <c r="C52" s="20" t="s">
        <v>73</v>
      </c>
      <c r="D52" s="21"/>
      <c r="E52" s="22"/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20260726-049</v>
      </c>
      <c r="B53" s="19">
        <f t="shared" si="3"/>
        <v>46229</v>
      </c>
      <c r="C53" s="20" t="s">
        <v>74</v>
      </c>
      <c r="D53" s="31"/>
      <c r="E53" s="22"/>
      <c r="F53" s="23"/>
      <c r="G53" s="24"/>
      <c r="H53" s="25"/>
      <c r="I53" s="26"/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20260726-050</v>
      </c>
      <c r="B54" s="19">
        <f t="shared" si="3"/>
        <v>46229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20260726-051</v>
      </c>
      <c r="B55" s="19">
        <f t="shared" si="3"/>
        <v>46229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20260726-052</v>
      </c>
      <c r="B56" s="19">
        <f t="shared" si="3"/>
        <v>46229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20260726-053</v>
      </c>
      <c r="B57" s="19">
        <f t="shared" si="3"/>
        <v>46229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20260726-054</v>
      </c>
      <c r="B58" s="19">
        <f t="shared" si="3"/>
        <v>46229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20260726-055</v>
      </c>
      <c r="B59" s="19">
        <f t="shared" si="3"/>
        <v>46229</v>
      </c>
      <c r="C59" s="20" t="s">
        <v>80</v>
      </c>
      <c r="D59" s="31"/>
      <c r="E59" s="22"/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20260726-056</v>
      </c>
      <c r="B60" s="19">
        <f t="shared" si="3"/>
        <v>46229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20260726-057</v>
      </c>
      <c r="B61" s="19">
        <f t="shared" si="3"/>
        <v>46229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20260726-058</v>
      </c>
      <c r="B62" s="19">
        <f t="shared" si="3"/>
        <v>46229</v>
      </c>
      <c r="C62" s="20" t="s">
        <v>83</v>
      </c>
      <c r="D62" s="31"/>
      <c r="E62" s="22"/>
      <c r="F62" s="23"/>
      <c r="G62" s="24"/>
      <c r="H62" s="25"/>
      <c r="I62" s="26"/>
      <c r="J62" s="27"/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20260726-059</v>
      </c>
      <c r="B63" s="19">
        <f t="shared" si="3"/>
        <v>46229</v>
      </c>
      <c r="C63" s="20" t="s">
        <v>84</v>
      </c>
      <c r="D63" s="21"/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20260726-060</v>
      </c>
      <c r="B64" s="19">
        <f t="shared" si="3"/>
        <v>46229</v>
      </c>
      <c r="C64" s="20" t="s">
        <v>85</v>
      </c>
      <c r="D64" s="31"/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20260726-061</v>
      </c>
      <c r="B65" s="19">
        <f t="shared" si="3"/>
        <v>46229</v>
      </c>
      <c r="C65" s="20" t="s">
        <v>86</v>
      </c>
      <c r="D65" s="21"/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20260726-062</v>
      </c>
      <c r="B66" s="19">
        <f t="shared" si="3"/>
        <v>46229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20260726-063</v>
      </c>
      <c r="B67" s="19">
        <f t="shared" si="3"/>
        <v>46229</v>
      </c>
      <c r="C67" s="20" t="s">
        <v>88</v>
      </c>
      <c r="D67" s="21"/>
      <c r="E67" s="22"/>
      <c r="F67" s="23"/>
      <c r="G67" s="24"/>
      <c r="H67" s="25"/>
      <c r="I67" s="26"/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20260726-064</v>
      </c>
      <c r="B68" s="19">
        <f t="shared" si="3"/>
        <v>46229</v>
      </c>
      <c r="C68" s="20" t="s">
        <v>89</v>
      </c>
      <c r="D68" s="31"/>
      <c r="E68" s="22"/>
      <c r="F68" s="23"/>
      <c r="G68" s="24"/>
      <c r="H68" s="25"/>
      <c r="I68" s="26"/>
      <c r="J68" s="27"/>
      <c r="K68" s="28"/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20260726-065</v>
      </c>
      <c r="B69" s="19">
        <f t="shared" si="3"/>
        <v>46229</v>
      </c>
      <c r="C69" s="20" t="s">
        <v>90</v>
      </c>
      <c r="D69" s="21"/>
      <c r="E69" s="22"/>
      <c r="F69" s="23"/>
      <c r="G69" s="24"/>
      <c r="H69" s="25"/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20260726-066</v>
      </c>
      <c r="B70" s="19">
        <f t="shared" ref="B70:B80" si="5">$B$5</f>
        <v>46229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20260726-067</v>
      </c>
      <c r="B71" s="19">
        <f t="shared" si="5"/>
        <v>46229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20260726-068</v>
      </c>
      <c r="B72" s="19">
        <f t="shared" si="5"/>
        <v>46229</v>
      </c>
      <c r="C72" s="20" t="s">
        <v>93</v>
      </c>
      <c r="D72" s="31"/>
      <c r="E72" s="22"/>
      <c r="F72" s="23"/>
      <c r="G72" s="24"/>
      <c r="H72" s="25"/>
      <c r="I72" s="26"/>
      <c r="J72" s="27"/>
      <c r="K72" s="28"/>
      <c r="L72" s="15"/>
      <c r="M72" s="16"/>
      <c r="N72" s="15"/>
      <c r="O72" s="16"/>
      <c r="P72" s="17"/>
    </row>
    <row r="73" spans="1:16">
      <c r="A73" s="18" t="str">
        <f t="shared" si="4"/>
        <v>20260726-069</v>
      </c>
      <c r="B73" s="19">
        <f t="shared" si="5"/>
        <v>46229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20260726-070</v>
      </c>
      <c r="B74" s="19">
        <f t="shared" si="5"/>
        <v>46229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/>
      <c r="M74" s="16"/>
      <c r="N74" s="15"/>
      <c r="O74" s="16"/>
    </row>
    <row r="75" spans="1:16">
      <c r="A75" s="18" t="str">
        <f t="shared" si="4"/>
        <v>20260726-071</v>
      </c>
      <c r="B75" s="19">
        <f t="shared" si="5"/>
        <v>46229</v>
      </c>
      <c r="C75" s="20" t="s">
        <v>96</v>
      </c>
      <c r="D75" s="21"/>
      <c r="E75" s="22"/>
      <c r="F75" s="23"/>
      <c r="G75" s="24"/>
      <c r="H75" s="25"/>
      <c r="I75" s="26"/>
      <c r="J75" s="27"/>
      <c r="K75" s="28"/>
      <c r="L75" s="15"/>
      <c r="M75" s="16"/>
      <c r="N75" s="15"/>
      <c r="O75" s="16"/>
      <c r="P75" s="30"/>
    </row>
    <row r="76" spans="1:16">
      <c r="A76" s="18" t="str">
        <f t="shared" si="4"/>
        <v>20260726-072</v>
      </c>
      <c r="B76" s="19">
        <f t="shared" si="5"/>
        <v>46229</v>
      </c>
      <c r="C76" s="20" t="s">
        <v>97</v>
      </c>
      <c r="D76" s="31"/>
      <c r="E76" s="22"/>
      <c r="F76" s="23"/>
      <c r="G76" s="24"/>
      <c r="H76" s="25"/>
      <c r="I76" s="26"/>
      <c r="J76" s="27"/>
      <c r="K76" s="28"/>
      <c r="L76" s="15"/>
      <c r="M76" s="16"/>
      <c r="N76" s="15"/>
      <c r="O76" s="16"/>
    </row>
    <row r="77" spans="1:16">
      <c r="A77" s="18" t="str">
        <f t="shared" si="4"/>
        <v>20260726-073</v>
      </c>
      <c r="B77" s="19">
        <f t="shared" si="5"/>
        <v>46229</v>
      </c>
      <c r="C77" s="20" t="s">
        <v>98</v>
      </c>
      <c r="D77" s="21"/>
      <c r="E77" s="22"/>
      <c r="F77" s="23"/>
      <c r="G77" s="24"/>
      <c r="H77" s="25"/>
      <c r="I77" s="26"/>
      <c r="J77" s="27"/>
      <c r="K77" s="28"/>
      <c r="L77" s="34"/>
      <c r="M77" s="16"/>
      <c r="N77" s="15"/>
      <c r="O77" s="16"/>
      <c r="P77" s="30"/>
    </row>
    <row r="78" spans="1:16">
      <c r="A78" s="18" t="str">
        <f t="shared" si="4"/>
        <v>20260726-074</v>
      </c>
      <c r="B78" s="19">
        <f t="shared" si="5"/>
        <v>46229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20260726-075</v>
      </c>
      <c r="B79" s="19">
        <f t="shared" si="5"/>
        <v>46229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20260726-076</v>
      </c>
      <c r="B80" s="19">
        <f t="shared" si="5"/>
        <v>46229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80"/>
  <sheetViews>
    <sheetView topLeftCell="C62" zoomScaleNormal="100" workbookViewId="0">
      <selection activeCell="N74" sqref="N74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20260727-001</v>
      </c>
      <c r="B5" s="5">
        <v>46230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20260727-002</v>
      </c>
      <c r="B6" s="19">
        <f t="shared" ref="B6:B37" si="1">$B$5</f>
        <v>46230</v>
      </c>
      <c r="C6" s="20" t="s">
        <v>28</v>
      </c>
      <c r="D6" s="21">
        <v>10</v>
      </c>
      <c r="E6" s="22">
        <v>3</v>
      </c>
      <c r="F6" s="23"/>
      <c r="G6" s="24">
        <v>7</v>
      </c>
      <c r="H6" s="25"/>
      <c r="I6" s="26"/>
      <c r="J6" s="27"/>
      <c r="K6" s="28">
        <v>10</v>
      </c>
      <c r="L6" s="15"/>
      <c r="M6" s="29"/>
      <c r="N6" s="15"/>
      <c r="O6" s="29"/>
      <c r="P6" s="30"/>
    </row>
    <row r="7" spans="1:16">
      <c r="A7" s="18" t="str">
        <f t="shared" si="0"/>
        <v>20260727-003</v>
      </c>
      <c r="B7" s="19">
        <f t="shared" si="1"/>
        <v>46230</v>
      </c>
      <c r="C7" s="20" t="s">
        <v>29</v>
      </c>
      <c r="D7" s="31"/>
      <c r="E7" s="22"/>
      <c r="F7" s="23"/>
      <c r="G7" s="24"/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20260727-004</v>
      </c>
      <c r="B8" s="19">
        <f t="shared" si="1"/>
        <v>46230</v>
      </c>
      <c r="C8" s="20" t="s">
        <v>30</v>
      </c>
      <c r="D8" s="21"/>
      <c r="E8" s="22"/>
      <c r="F8" s="23"/>
      <c r="G8" s="24"/>
      <c r="H8" s="25"/>
      <c r="I8" s="26"/>
      <c r="J8" s="27"/>
      <c r="K8" s="28"/>
      <c r="L8" s="15"/>
      <c r="M8" s="16"/>
      <c r="N8" s="15"/>
      <c r="O8" s="16"/>
      <c r="P8" s="30"/>
    </row>
    <row r="9" spans="1:16">
      <c r="A9" s="18" t="str">
        <f t="shared" si="0"/>
        <v>20260727-005</v>
      </c>
      <c r="B9" s="19">
        <f t="shared" si="1"/>
        <v>46230</v>
      </c>
      <c r="C9" s="20" t="s">
        <v>31</v>
      </c>
      <c r="D9" s="31"/>
      <c r="E9" s="22"/>
      <c r="F9" s="23"/>
      <c r="G9" s="24"/>
      <c r="H9" s="25"/>
      <c r="I9" s="26"/>
      <c r="J9" s="27"/>
      <c r="K9" s="28"/>
      <c r="L9" s="15"/>
      <c r="M9" s="29"/>
      <c r="N9" s="15"/>
      <c r="O9" s="29"/>
      <c r="P9" s="17"/>
    </row>
    <row r="10" spans="1:16">
      <c r="A10" s="18" t="str">
        <f t="shared" si="0"/>
        <v>20260727-006</v>
      </c>
      <c r="B10" s="19">
        <f t="shared" si="1"/>
        <v>46230</v>
      </c>
      <c r="C10" s="20" t="s">
        <v>32</v>
      </c>
      <c r="D10" s="21"/>
      <c r="E10" s="22"/>
      <c r="F10" s="23"/>
      <c r="G10" s="24"/>
      <c r="H10" s="25"/>
      <c r="I10" s="26">
        <v>1</v>
      </c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20260727-007</v>
      </c>
      <c r="B11" s="19">
        <f t="shared" si="1"/>
        <v>46230</v>
      </c>
      <c r="C11" s="20" t="s">
        <v>33</v>
      </c>
      <c r="D11" s="31"/>
      <c r="E11" s="22"/>
      <c r="F11" s="23"/>
      <c r="G11" s="24"/>
      <c r="H11" s="25">
        <v>25</v>
      </c>
      <c r="I11" s="26">
        <v>20</v>
      </c>
      <c r="J11" s="27">
        <v>15</v>
      </c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20260727-008</v>
      </c>
      <c r="B12" s="19">
        <f t="shared" si="1"/>
        <v>46230</v>
      </c>
      <c r="C12" s="33" t="s">
        <v>34</v>
      </c>
      <c r="D12" s="21">
        <v>10</v>
      </c>
      <c r="E12" s="22">
        <v>11</v>
      </c>
      <c r="F12" s="23"/>
      <c r="G12" s="24">
        <v>10</v>
      </c>
      <c r="H12" s="25"/>
      <c r="I12" s="26"/>
      <c r="J12" s="27"/>
      <c r="K12" s="28">
        <v>18</v>
      </c>
      <c r="L12" s="15"/>
      <c r="M12" s="16"/>
      <c r="N12" s="15"/>
      <c r="O12" s="16"/>
      <c r="P12" s="30"/>
    </row>
    <row r="13" spans="1:16">
      <c r="A13" s="18" t="str">
        <f t="shared" si="0"/>
        <v>20260727-009</v>
      </c>
      <c r="B13" s="19">
        <f t="shared" si="1"/>
        <v>46230</v>
      </c>
      <c r="C13" s="33" t="s">
        <v>104</v>
      </c>
      <c r="D13" s="31"/>
      <c r="E13" s="22"/>
      <c r="F13" s="23"/>
      <c r="G13" s="24"/>
      <c r="H13" s="25"/>
      <c r="I13" s="26">
        <v>5</v>
      </c>
      <c r="J13" s="27">
        <v>3</v>
      </c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20260727-010</v>
      </c>
      <c r="B14" s="19">
        <f t="shared" si="1"/>
        <v>46230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20260727-011</v>
      </c>
      <c r="B15" s="19">
        <f t="shared" si="1"/>
        <v>46230</v>
      </c>
      <c r="C15" s="33" t="s">
        <v>36</v>
      </c>
      <c r="D15" s="31"/>
      <c r="E15" s="22"/>
      <c r="F15" s="23"/>
      <c r="G15" s="24"/>
      <c r="H15" s="25">
        <v>8</v>
      </c>
      <c r="I15" s="26">
        <v>8</v>
      </c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20260727-012</v>
      </c>
      <c r="B16" s="19">
        <f t="shared" si="1"/>
        <v>46230</v>
      </c>
      <c r="C16" s="20" t="s">
        <v>37</v>
      </c>
      <c r="D16" s="21"/>
      <c r="E16" s="22"/>
      <c r="F16" s="23"/>
      <c r="G16" s="24"/>
      <c r="H16" s="25"/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20260727-013</v>
      </c>
      <c r="B17" s="19">
        <f t="shared" si="1"/>
        <v>46230</v>
      </c>
      <c r="C17" s="20" t="s">
        <v>38</v>
      </c>
      <c r="D17" s="31"/>
      <c r="E17" s="22"/>
      <c r="F17" s="23"/>
      <c r="G17" s="24"/>
      <c r="H17" s="25"/>
      <c r="I17" s="26"/>
      <c r="J17" s="27"/>
      <c r="K17" s="28"/>
      <c r="L17" s="15"/>
      <c r="M17" s="16"/>
      <c r="N17" s="15"/>
      <c r="O17" s="16"/>
      <c r="P17" s="17"/>
    </row>
    <row r="18" spans="1:16">
      <c r="A18" s="18" t="str">
        <f t="shared" si="0"/>
        <v>20260727-014</v>
      </c>
      <c r="B18" s="19">
        <f t="shared" si="1"/>
        <v>46230</v>
      </c>
      <c r="C18" s="20" t="s">
        <v>39</v>
      </c>
      <c r="D18" s="21"/>
      <c r="E18" s="22"/>
      <c r="F18" s="23"/>
      <c r="G18" s="24"/>
      <c r="H18" s="25">
        <v>1</v>
      </c>
      <c r="I18" s="26">
        <v>1</v>
      </c>
      <c r="J18" s="27"/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20260727-015</v>
      </c>
      <c r="B19" s="19">
        <f t="shared" si="1"/>
        <v>46230</v>
      </c>
      <c r="C19" s="20" t="s">
        <v>40</v>
      </c>
      <c r="D19" s="31"/>
      <c r="E19" s="22">
        <v>5</v>
      </c>
      <c r="F19" s="23"/>
      <c r="G19" s="24"/>
      <c r="H19" s="25">
        <v>3</v>
      </c>
      <c r="I19" s="26">
        <v>4</v>
      </c>
      <c r="J19" s="27"/>
      <c r="K19" s="28"/>
      <c r="L19" s="15"/>
      <c r="M19" s="16"/>
      <c r="N19" s="15"/>
      <c r="O19" s="16"/>
      <c r="P19" s="17"/>
    </row>
    <row r="20" spans="1:16">
      <c r="A20" s="18" t="str">
        <f t="shared" si="0"/>
        <v>20260727-016</v>
      </c>
      <c r="B20" s="19">
        <f t="shared" si="1"/>
        <v>46230</v>
      </c>
      <c r="C20" s="20" t="s">
        <v>41</v>
      </c>
      <c r="D20" s="21"/>
      <c r="E20" s="22"/>
      <c r="F20" s="23"/>
      <c r="G20" s="24">
        <v>1</v>
      </c>
      <c r="H20" s="25"/>
      <c r="I20" s="26"/>
      <c r="J20" s="27"/>
      <c r="K20" s="28">
        <v>1</v>
      </c>
      <c r="L20" s="15"/>
      <c r="M20" s="16"/>
      <c r="N20" s="15"/>
      <c r="O20" s="16"/>
      <c r="P20" s="30"/>
    </row>
    <row r="21" spans="1:16">
      <c r="A21" s="18" t="str">
        <f t="shared" si="0"/>
        <v>20260727-017</v>
      </c>
      <c r="B21" s="19">
        <f t="shared" si="1"/>
        <v>46230</v>
      </c>
      <c r="C21" s="20" t="s">
        <v>42</v>
      </c>
      <c r="D21" s="31"/>
      <c r="E21" s="22"/>
      <c r="F21" s="23"/>
      <c r="G21" s="24"/>
      <c r="H21" s="25"/>
      <c r="I21" s="26"/>
      <c r="J21" s="27"/>
      <c r="K21" s="28"/>
      <c r="L21" s="15"/>
      <c r="M21" s="16"/>
      <c r="N21" s="15"/>
      <c r="O21" s="16"/>
      <c r="P21" s="17"/>
    </row>
    <row r="22" spans="1:16">
      <c r="A22" s="18" t="str">
        <f t="shared" si="0"/>
        <v>20260727-018</v>
      </c>
      <c r="B22" s="19">
        <f t="shared" si="1"/>
        <v>46230</v>
      </c>
      <c r="C22" s="20" t="s">
        <v>43</v>
      </c>
      <c r="D22" s="21"/>
      <c r="E22" s="22">
        <v>2</v>
      </c>
      <c r="F22" s="23"/>
      <c r="G22" s="24">
        <v>1</v>
      </c>
      <c r="H22" s="25"/>
      <c r="I22" s="26">
        <v>3</v>
      </c>
      <c r="J22" s="27"/>
      <c r="K22" s="28">
        <v>5</v>
      </c>
      <c r="L22" s="15"/>
      <c r="M22" s="16"/>
      <c r="N22" s="15"/>
      <c r="O22" s="16"/>
      <c r="P22" s="30"/>
    </row>
    <row r="23" spans="1:16">
      <c r="A23" s="18" t="str">
        <f t="shared" si="0"/>
        <v>20260727-019</v>
      </c>
      <c r="B23" s="19">
        <f t="shared" si="1"/>
        <v>46230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20260727-020</v>
      </c>
      <c r="B24" s="19">
        <f t="shared" si="1"/>
        <v>46230</v>
      </c>
      <c r="C24" s="20" t="s">
        <v>45</v>
      </c>
      <c r="D24" s="21"/>
      <c r="E24" s="22"/>
      <c r="F24" s="23"/>
      <c r="G24" s="24"/>
      <c r="H24" s="25">
        <v>3</v>
      </c>
      <c r="I24" s="26"/>
      <c r="J24" s="27">
        <v>1</v>
      </c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20260727-021</v>
      </c>
      <c r="B25" s="19">
        <f t="shared" si="1"/>
        <v>46230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20260727-022</v>
      </c>
      <c r="B26" s="19">
        <f t="shared" si="1"/>
        <v>46230</v>
      </c>
      <c r="C26" s="20" t="s">
        <v>47</v>
      </c>
      <c r="D26" s="21"/>
      <c r="E26" s="22"/>
      <c r="F26" s="23"/>
      <c r="G26" s="24"/>
      <c r="H26" s="25">
        <v>6</v>
      </c>
      <c r="I26" s="26">
        <v>4</v>
      </c>
      <c r="J26" s="27">
        <v>2</v>
      </c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20260727-023</v>
      </c>
      <c r="B27" s="19">
        <f t="shared" si="1"/>
        <v>46230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20260727-024</v>
      </c>
      <c r="B28" s="19">
        <f t="shared" si="1"/>
        <v>46230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20260727-025</v>
      </c>
      <c r="B29" s="19">
        <f t="shared" si="1"/>
        <v>46230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20260727-026</v>
      </c>
      <c r="B30" s="19">
        <f t="shared" si="1"/>
        <v>46230</v>
      </c>
      <c r="C30" s="20" t="s">
        <v>51</v>
      </c>
      <c r="D30" s="21"/>
      <c r="E30" s="22"/>
      <c r="F30" s="23"/>
      <c r="G30" s="24"/>
      <c r="H30" s="25"/>
      <c r="I30" s="26"/>
      <c r="J30" s="27"/>
      <c r="K30" s="28"/>
      <c r="L30" s="15"/>
      <c r="M30" s="16"/>
      <c r="N30" s="15"/>
      <c r="O30" s="16"/>
      <c r="P30" s="30"/>
    </row>
    <row r="31" spans="1:16">
      <c r="A31" s="18" t="str">
        <f t="shared" si="0"/>
        <v>20260727-027</v>
      </c>
      <c r="B31" s="19">
        <f t="shared" si="1"/>
        <v>46230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20260727-028</v>
      </c>
      <c r="B32" s="19">
        <f t="shared" si="1"/>
        <v>46230</v>
      </c>
      <c r="C32" s="20" t="s">
        <v>53</v>
      </c>
      <c r="D32" s="21"/>
      <c r="E32" s="22"/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20260727-029</v>
      </c>
      <c r="B33" s="19">
        <f t="shared" si="1"/>
        <v>46230</v>
      </c>
      <c r="C33" s="20" t="s">
        <v>54</v>
      </c>
      <c r="D33" s="31"/>
      <c r="E33" s="22"/>
      <c r="F33" s="23"/>
      <c r="G33" s="24">
        <v>1</v>
      </c>
      <c r="H33" s="25"/>
      <c r="I33" s="26">
        <v>2</v>
      </c>
      <c r="J33" s="27"/>
      <c r="K33" s="28">
        <v>3</v>
      </c>
      <c r="L33" s="15"/>
      <c r="M33" s="16"/>
      <c r="N33" s="15"/>
      <c r="O33" s="16"/>
      <c r="P33" s="17"/>
    </row>
    <row r="34" spans="1:16">
      <c r="A34" s="18" t="str">
        <f t="shared" si="0"/>
        <v>20260727-030</v>
      </c>
      <c r="B34" s="19">
        <f t="shared" si="1"/>
        <v>46230</v>
      </c>
      <c r="C34" s="20" t="s">
        <v>55</v>
      </c>
      <c r="D34" s="21"/>
      <c r="E34" s="22"/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20260727-031</v>
      </c>
      <c r="B35" s="19">
        <f t="shared" si="1"/>
        <v>46230</v>
      </c>
      <c r="C35" s="20" t="s">
        <v>56</v>
      </c>
      <c r="D35" s="31"/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20260727-032</v>
      </c>
      <c r="B36" s="19">
        <f t="shared" si="1"/>
        <v>46230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20260727-033</v>
      </c>
      <c r="B37" s="19">
        <f t="shared" si="1"/>
        <v>46230</v>
      </c>
      <c r="C37" s="20" t="s">
        <v>58</v>
      </c>
      <c r="D37" s="31"/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20260727-034</v>
      </c>
      <c r="B38" s="19">
        <f t="shared" ref="B38:B69" si="3">$B$5</f>
        <v>46230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20260727-035</v>
      </c>
      <c r="B39" s="19">
        <f t="shared" si="3"/>
        <v>46230</v>
      </c>
      <c r="C39" s="20" t="s">
        <v>60</v>
      </c>
      <c r="D39" s="31"/>
      <c r="E39" s="22"/>
      <c r="F39" s="23"/>
      <c r="G39" s="24"/>
      <c r="H39" s="25"/>
      <c r="I39" s="26"/>
      <c r="J39" s="27"/>
      <c r="K39" s="28"/>
      <c r="L39" s="15"/>
      <c r="M39" s="16"/>
      <c r="N39" s="15"/>
      <c r="O39" s="16"/>
      <c r="P39" s="17"/>
    </row>
    <row r="40" spans="1:16">
      <c r="A40" s="18" t="str">
        <f t="shared" si="2"/>
        <v>20260727-036</v>
      </c>
      <c r="B40" s="19">
        <f t="shared" si="3"/>
        <v>46230</v>
      </c>
      <c r="C40" s="20" t="s">
        <v>61</v>
      </c>
      <c r="D40" s="21"/>
      <c r="E40" s="22"/>
      <c r="F40" s="23"/>
      <c r="G40" s="24"/>
      <c r="H40" s="25"/>
      <c r="I40" s="26"/>
      <c r="J40" s="27"/>
      <c r="K40" s="28"/>
      <c r="L40" s="15"/>
      <c r="M40" s="16"/>
      <c r="N40" s="15"/>
      <c r="O40" s="16"/>
      <c r="P40" s="30"/>
    </row>
    <row r="41" spans="1:16">
      <c r="A41" s="18" t="str">
        <f t="shared" si="2"/>
        <v>20260727-037</v>
      </c>
      <c r="B41" s="19">
        <f t="shared" si="3"/>
        <v>46230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20260727-038</v>
      </c>
      <c r="B42" s="19">
        <f t="shared" si="3"/>
        <v>46230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20260727-039</v>
      </c>
      <c r="B43" s="19">
        <f t="shared" si="3"/>
        <v>46230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20260727-040</v>
      </c>
      <c r="B44" s="19">
        <f t="shared" si="3"/>
        <v>46230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20260727-041</v>
      </c>
      <c r="B45" s="19">
        <f t="shared" si="3"/>
        <v>46230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20260727-042</v>
      </c>
      <c r="B46" s="19">
        <f t="shared" si="3"/>
        <v>46230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20260727-043</v>
      </c>
      <c r="B47" s="19">
        <f t="shared" si="3"/>
        <v>46230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20260727-044</v>
      </c>
      <c r="B48" s="19">
        <f t="shared" si="3"/>
        <v>46230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20260727-045</v>
      </c>
      <c r="B49" s="19">
        <f t="shared" si="3"/>
        <v>46230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20260727-046</v>
      </c>
      <c r="B50" s="19">
        <f t="shared" si="3"/>
        <v>46230</v>
      </c>
      <c r="C50" s="20" t="s">
        <v>71</v>
      </c>
      <c r="D50" s="21"/>
      <c r="E50" s="22">
        <v>1</v>
      </c>
      <c r="F50" s="23"/>
      <c r="G50" s="24"/>
      <c r="H50" s="25"/>
      <c r="I50" s="26"/>
      <c r="J50" s="27"/>
      <c r="K50" s="28">
        <v>1</v>
      </c>
      <c r="L50" s="15"/>
      <c r="M50" s="16"/>
      <c r="N50" s="15"/>
      <c r="O50" s="16"/>
      <c r="P50" s="30"/>
    </row>
    <row r="51" spans="1:16">
      <c r="A51" s="18" t="str">
        <f t="shared" si="2"/>
        <v>20260727-047</v>
      </c>
      <c r="B51" s="19">
        <f t="shared" si="3"/>
        <v>46230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20260727-048</v>
      </c>
      <c r="B52" s="19">
        <f t="shared" si="3"/>
        <v>46230</v>
      </c>
      <c r="C52" s="20" t="s">
        <v>73</v>
      </c>
      <c r="D52" s="21"/>
      <c r="E52" s="22">
        <v>1</v>
      </c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20260727-049</v>
      </c>
      <c r="B53" s="19">
        <f t="shared" si="3"/>
        <v>46230</v>
      </c>
      <c r="C53" s="20" t="s">
        <v>74</v>
      </c>
      <c r="D53" s="31"/>
      <c r="E53" s="22"/>
      <c r="F53" s="23"/>
      <c r="G53" s="24"/>
      <c r="H53" s="25">
        <v>2</v>
      </c>
      <c r="I53" s="26">
        <v>3</v>
      </c>
      <c r="J53" s="27">
        <v>1</v>
      </c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20260727-050</v>
      </c>
      <c r="B54" s="19">
        <f t="shared" si="3"/>
        <v>46230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20260727-051</v>
      </c>
      <c r="B55" s="19">
        <f t="shared" si="3"/>
        <v>46230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20260727-052</v>
      </c>
      <c r="B56" s="19">
        <f t="shared" si="3"/>
        <v>46230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20260727-053</v>
      </c>
      <c r="B57" s="19">
        <f t="shared" si="3"/>
        <v>46230</v>
      </c>
      <c r="C57" s="20" t="s">
        <v>78</v>
      </c>
      <c r="D57" s="31"/>
      <c r="E57" s="22"/>
      <c r="F57" s="23"/>
      <c r="G57" s="24"/>
      <c r="H57" s="25">
        <v>1</v>
      </c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20260727-054</v>
      </c>
      <c r="B58" s="19">
        <f t="shared" si="3"/>
        <v>46230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20260727-055</v>
      </c>
      <c r="B59" s="19">
        <f t="shared" si="3"/>
        <v>46230</v>
      </c>
      <c r="C59" s="20" t="s">
        <v>80</v>
      </c>
      <c r="D59" s="31"/>
      <c r="E59" s="22"/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20260727-056</v>
      </c>
      <c r="B60" s="19">
        <f t="shared" si="3"/>
        <v>46230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20260727-057</v>
      </c>
      <c r="B61" s="19">
        <f t="shared" si="3"/>
        <v>46230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20260727-058</v>
      </c>
      <c r="B62" s="19">
        <f t="shared" si="3"/>
        <v>46230</v>
      </c>
      <c r="C62" s="20" t="s">
        <v>83</v>
      </c>
      <c r="D62" s="31"/>
      <c r="E62" s="22"/>
      <c r="F62" s="23"/>
      <c r="G62" s="24"/>
      <c r="H62" s="25">
        <v>8</v>
      </c>
      <c r="I62" s="26">
        <v>6</v>
      </c>
      <c r="J62" s="27">
        <v>6</v>
      </c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20260727-059</v>
      </c>
      <c r="B63" s="19">
        <f t="shared" si="3"/>
        <v>46230</v>
      </c>
      <c r="C63" s="20" t="s">
        <v>84</v>
      </c>
      <c r="D63" s="21"/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20260727-060</v>
      </c>
      <c r="B64" s="19">
        <f t="shared" si="3"/>
        <v>46230</v>
      </c>
      <c r="C64" s="20" t="s">
        <v>85</v>
      </c>
      <c r="D64" s="31">
        <v>10</v>
      </c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20260727-061</v>
      </c>
      <c r="B65" s="19">
        <f t="shared" si="3"/>
        <v>46230</v>
      </c>
      <c r="C65" s="20" t="s">
        <v>86</v>
      </c>
      <c r="D65" s="21">
        <v>20</v>
      </c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20260727-062</v>
      </c>
      <c r="B66" s="19">
        <f t="shared" si="3"/>
        <v>46230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20260727-063</v>
      </c>
      <c r="B67" s="19">
        <f t="shared" si="3"/>
        <v>46230</v>
      </c>
      <c r="C67" s="20" t="s">
        <v>88</v>
      </c>
      <c r="D67" s="21"/>
      <c r="E67" s="22"/>
      <c r="F67" s="23"/>
      <c r="G67" s="24"/>
      <c r="H67" s="25">
        <v>5</v>
      </c>
      <c r="I67" s="26">
        <v>5</v>
      </c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20260727-064</v>
      </c>
      <c r="B68" s="19">
        <f t="shared" si="3"/>
        <v>46230</v>
      </c>
      <c r="C68" s="20" t="s">
        <v>89</v>
      </c>
      <c r="D68" s="31"/>
      <c r="E68" s="22">
        <v>2</v>
      </c>
      <c r="F68" s="23"/>
      <c r="G68" s="24"/>
      <c r="H68" s="25"/>
      <c r="I68" s="26"/>
      <c r="J68" s="27"/>
      <c r="K68" s="28">
        <v>4</v>
      </c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20260727-065</v>
      </c>
      <c r="B69" s="19">
        <f t="shared" si="3"/>
        <v>46230</v>
      </c>
      <c r="C69" s="20" t="s">
        <v>90</v>
      </c>
      <c r="D69" s="21"/>
      <c r="E69" s="22"/>
      <c r="F69" s="23"/>
      <c r="G69" s="24"/>
      <c r="H69" s="25">
        <v>3</v>
      </c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20260727-066</v>
      </c>
      <c r="B70" s="19">
        <f t="shared" ref="B70:B80" si="5">$B$5</f>
        <v>46230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20260727-067</v>
      </c>
      <c r="B71" s="19">
        <f t="shared" si="5"/>
        <v>46230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20260727-068</v>
      </c>
      <c r="B72" s="19">
        <f t="shared" si="5"/>
        <v>46230</v>
      </c>
      <c r="C72" s="20" t="s">
        <v>93</v>
      </c>
      <c r="D72" s="31"/>
      <c r="E72" s="22">
        <v>1</v>
      </c>
      <c r="F72" s="23"/>
      <c r="G72" s="24"/>
      <c r="H72" s="25"/>
      <c r="I72" s="26"/>
      <c r="J72" s="27"/>
      <c r="K72" s="28">
        <v>1</v>
      </c>
      <c r="L72" s="15"/>
      <c r="M72" s="16"/>
      <c r="N72" s="15"/>
      <c r="O72" s="16"/>
      <c r="P72" s="17"/>
    </row>
    <row r="73" spans="1:16">
      <c r="A73" s="18" t="str">
        <f t="shared" si="4"/>
        <v>20260727-069</v>
      </c>
      <c r="B73" s="19">
        <f t="shared" si="5"/>
        <v>46230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20260727-070</v>
      </c>
      <c r="B74" s="19">
        <f t="shared" si="5"/>
        <v>46230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1</v>
      </c>
      <c r="M74" s="16">
        <v>1</v>
      </c>
      <c r="N74" s="15"/>
      <c r="O74" s="16"/>
    </row>
    <row r="75" spans="1:16">
      <c r="A75" s="18" t="str">
        <f t="shared" si="4"/>
        <v>20260727-071</v>
      </c>
      <c r="B75" s="19">
        <f t="shared" si="5"/>
        <v>46230</v>
      </c>
      <c r="C75" s="20" t="s">
        <v>96</v>
      </c>
      <c r="D75" s="21"/>
      <c r="E75" s="22"/>
      <c r="F75" s="23"/>
      <c r="G75" s="24">
        <v>2</v>
      </c>
      <c r="H75" s="25"/>
      <c r="I75" s="26"/>
      <c r="J75" s="27"/>
      <c r="K75" s="28">
        <v>4</v>
      </c>
      <c r="L75" s="15"/>
      <c r="M75" s="16"/>
      <c r="N75" s="15"/>
      <c r="O75" s="16"/>
      <c r="P75" s="30"/>
    </row>
    <row r="76" spans="1:16">
      <c r="A76" s="18" t="str">
        <f t="shared" si="4"/>
        <v>20260727-072</v>
      </c>
      <c r="B76" s="19">
        <f t="shared" si="5"/>
        <v>46230</v>
      </c>
      <c r="C76" s="20" t="s">
        <v>97</v>
      </c>
      <c r="D76" s="31"/>
      <c r="E76" s="22"/>
      <c r="F76" s="23"/>
      <c r="G76" s="24"/>
      <c r="H76" s="25"/>
      <c r="I76" s="26"/>
      <c r="J76" s="27"/>
      <c r="K76" s="28"/>
      <c r="L76" s="15"/>
      <c r="M76" s="16"/>
      <c r="N76" s="15"/>
      <c r="O76" s="16"/>
    </row>
    <row r="77" spans="1:16">
      <c r="A77" s="18" t="str">
        <f t="shared" si="4"/>
        <v>20260727-073</v>
      </c>
      <c r="B77" s="19">
        <f t="shared" si="5"/>
        <v>46230</v>
      </c>
      <c r="C77" s="20" t="s">
        <v>98</v>
      </c>
      <c r="D77" s="21"/>
      <c r="E77" s="22"/>
      <c r="F77" s="23"/>
      <c r="G77" s="24"/>
      <c r="H77" s="25"/>
      <c r="I77" s="26"/>
      <c r="J77" s="27"/>
      <c r="K77" s="28"/>
      <c r="L77" s="34">
        <v>1</v>
      </c>
      <c r="M77" s="16"/>
      <c r="N77" s="15"/>
      <c r="O77" s="16"/>
      <c r="P77" s="30"/>
    </row>
    <row r="78" spans="1:16">
      <c r="A78" s="18" t="str">
        <f t="shared" si="4"/>
        <v>20260727-074</v>
      </c>
      <c r="B78" s="19">
        <f t="shared" si="5"/>
        <v>46230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20260727-075</v>
      </c>
      <c r="B79" s="19">
        <f t="shared" si="5"/>
        <v>46230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20260727-076</v>
      </c>
      <c r="B80" s="19">
        <f t="shared" si="5"/>
        <v>46230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80"/>
  <sheetViews>
    <sheetView zoomScale="70" zoomScaleNormal="70" workbookViewId="0">
      <selection activeCell="K9" sqref="K9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20260728-001</v>
      </c>
      <c r="B5" s="5">
        <v>46231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20260728-002</v>
      </c>
      <c r="B6" s="19">
        <f t="shared" ref="B6:B37" si="1">$B$5</f>
        <v>46231</v>
      </c>
      <c r="C6" s="20" t="s">
        <v>28</v>
      </c>
      <c r="D6" s="21"/>
      <c r="E6" s="22"/>
      <c r="F6" s="23"/>
      <c r="G6" s="24">
        <v>10</v>
      </c>
      <c r="H6" s="25"/>
      <c r="I6" s="26"/>
      <c r="J6" s="27"/>
      <c r="K6" s="28">
        <v>13</v>
      </c>
      <c r="L6" s="15"/>
      <c r="M6" s="29"/>
      <c r="N6" s="15"/>
      <c r="O6" s="29"/>
      <c r="P6" s="30"/>
    </row>
    <row r="7" spans="1:16">
      <c r="A7" s="18" t="str">
        <f t="shared" si="0"/>
        <v>20260728-003</v>
      </c>
      <c r="B7" s="19">
        <f t="shared" si="1"/>
        <v>46231</v>
      </c>
      <c r="C7" s="20" t="s">
        <v>29</v>
      </c>
      <c r="D7" s="31"/>
      <c r="E7" s="22"/>
      <c r="F7" s="23"/>
      <c r="G7" s="24"/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20260728-004</v>
      </c>
      <c r="B8" s="19">
        <f t="shared" si="1"/>
        <v>46231</v>
      </c>
      <c r="C8" s="20" t="s">
        <v>30</v>
      </c>
      <c r="D8" s="21"/>
      <c r="E8" s="22">
        <v>3</v>
      </c>
      <c r="F8" s="23"/>
      <c r="G8" s="24">
        <v>2</v>
      </c>
      <c r="H8" s="25"/>
      <c r="I8" s="26"/>
      <c r="J8" s="27"/>
      <c r="K8" s="28">
        <v>8</v>
      </c>
      <c r="L8" s="15"/>
      <c r="M8" s="16"/>
      <c r="N8" s="15"/>
      <c r="O8" s="16"/>
      <c r="P8" s="30"/>
    </row>
    <row r="9" spans="1:16">
      <c r="A9" s="18" t="str">
        <f t="shared" si="0"/>
        <v>20260728-005</v>
      </c>
      <c r="B9" s="19">
        <f t="shared" si="1"/>
        <v>46231</v>
      </c>
      <c r="C9" s="20" t="s">
        <v>31</v>
      </c>
      <c r="D9" s="31"/>
      <c r="E9" s="22"/>
      <c r="F9" s="23"/>
      <c r="G9" s="24">
        <v>1</v>
      </c>
      <c r="H9" s="25"/>
      <c r="I9" s="26"/>
      <c r="J9" s="27"/>
      <c r="K9" s="28">
        <v>2</v>
      </c>
      <c r="L9" s="15"/>
      <c r="M9" s="29"/>
      <c r="N9" s="15"/>
      <c r="O9" s="29"/>
      <c r="P9" s="17"/>
    </row>
    <row r="10" spans="1:16">
      <c r="A10" s="18" t="str">
        <f t="shared" si="0"/>
        <v>20260728-006</v>
      </c>
      <c r="B10" s="19">
        <f t="shared" si="1"/>
        <v>46231</v>
      </c>
      <c r="C10" s="20" t="s">
        <v>32</v>
      </c>
      <c r="D10" s="21"/>
      <c r="E10" s="22"/>
      <c r="F10" s="23"/>
      <c r="G10" s="24"/>
      <c r="H10" s="25"/>
      <c r="I10" s="26"/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20260728-007</v>
      </c>
      <c r="B11" s="19">
        <f t="shared" si="1"/>
        <v>46231</v>
      </c>
      <c r="C11" s="20" t="s">
        <v>33</v>
      </c>
      <c r="D11" s="31"/>
      <c r="E11" s="22"/>
      <c r="F11" s="23"/>
      <c r="G11" s="24"/>
      <c r="H11" s="25">
        <v>15</v>
      </c>
      <c r="I11" s="26">
        <v>20</v>
      </c>
      <c r="J11" s="27">
        <v>5</v>
      </c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20260728-008</v>
      </c>
      <c r="B12" s="19">
        <f t="shared" si="1"/>
        <v>46231</v>
      </c>
      <c r="C12" s="33" t="s">
        <v>34</v>
      </c>
      <c r="D12" s="21">
        <v>10</v>
      </c>
      <c r="E12" s="22">
        <v>12</v>
      </c>
      <c r="F12" s="23"/>
      <c r="G12" s="24">
        <v>8</v>
      </c>
      <c r="H12" s="25"/>
      <c r="I12" s="26"/>
      <c r="J12" s="27"/>
      <c r="K12" s="28">
        <v>22</v>
      </c>
      <c r="L12" s="15"/>
      <c r="M12" s="16"/>
      <c r="N12" s="15"/>
      <c r="O12" s="16"/>
      <c r="P12" s="30"/>
    </row>
    <row r="13" spans="1:16">
      <c r="A13" s="18" t="str">
        <f t="shared" si="0"/>
        <v>20260728-009</v>
      </c>
      <c r="B13" s="19">
        <f t="shared" si="1"/>
        <v>46231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20260728-010</v>
      </c>
      <c r="B14" s="19">
        <f t="shared" si="1"/>
        <v>46231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20260728-011</v>
      </c>
      <c r="B15" s="19">
        <f t="shared" si="1"/>
        <v>46231</v>
      </c>
      <c r="C15" s="33" t="s">
        <v>36</v>
      </c>
      <c r="D15" s="31"/>
      <c r="E15" s="22"/>
      <c r="F15" s="23"/>
      <c r="G15" s="24"/>
      <c r="H15" s="25">
        <v>4</v>
      </c>
      <c r="I15" s="26">
        <v>4</v>
      </c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20260728-012</v>
      </c>
      <c r="B16" s="19">
        <f t="shared" si="1"/>
        <v>46231</v>
      </c>
      <c r="C16" s="20" t="s">
        <v>37</v>
      </c>
      <c r="D16" s="21"/>
      <c r="E16" s="22"/>
      <c r="F16" s="23"/>
      <c r="G16" s="24"/>
      <c r="H16" s="25">
        <v>5</v>
      </c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20260728-013</v>
      </c>
      <c r="B17" s="19">
        <f t="shared" si="1"/>
        <v>46231</v>
      </c>
      <c r="C17" s="20" t="s">
        <v>38</v>
      </c>
      <c r="D17" s="31"/>
      <c r="E17" s="22"/>
      <c r="F17" s="23"/>
      <c r="G17" s="24">
        <v>1</v>
      </c>
      <c r="H17" s="25">
        <v>2</v>
      </c>
      <c r="I17" s="26"/>
      <c r="J17" s="27">
        <v>2</v>
      </c>
      <c r="K17" s="28">
        <v>1</v>
      </c>
      <c r="L17" s="15"/>
      <c r="M17" s="16"/>
      <c r="N17" s="15"/>
      <c r="O17" s="16"/>
      <c r="P17" s="17"/>
    </row>
    <row r="18" spans="1:16">
      <c r="A18" s="18" t="str">
        <f t="shared" si="0"/>
        <v>20260728-014</v>
      </c>
      <c r="B18" s="19">
        <f t="shared" si="1"/>
        <v>46231</v>
      </c>
      <c r="C18" s="20" t="s">
        <v>39</v>
      </c>
      <c r="D18" s="21"/>
      <c r="E18" s="22"/>
      <c r="F18" s="23"/>
      <c r="G18" s="24"/>
      <c r="H18" s="25"/>
      <c r="I18" s="26"/>
      <c r="J18" s="27"/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20260728-015</v>
      </c>
      <c r="B19" s="19">
        <f t="shared" si="1"/>
        <v>46231</v>
      </c>
      <c r="C19" s="20" t="s">
        <v>40</v>
      </c>
      <c r="D19" s="31"/>
      <c r="E19" s="22"/>
      <c r="F19" s="23"/>
      <c r="G19" s="24"/>
      <c r="H19" s="25"/>
      <c r="I19" s="26"/>
      <c r="J19" s="27"/>
      <c r="K19" s="28"/>
      <c r="L19" s="15"/>
      <c r="M19" s="16"/>
      <c r="N19" s="15"/>
      <c r="O19" s="16"/>
      <c r="P19" s="17"/>
    </row>
    <row r="20" spans="1:16">
      <c r="A20" s="18" t="str">
        <f t="shared" si="0"/>
        <v>20260728-016</v>
      </c>
      <c r="B20" s="19">
        <f t="shared" si="1"/>
        <v>46231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20260728-017</v>
      </c>
      <c r="B21" s="19">
        <f t="shared" si="1"/>
        <v>46231</v>
      </c>
      <c r="C21" s="20" t="s">
        <v>42</v>
      </c>
      <c r="D21" s="31"/>
      <c r="E21" s="22">
        <v>1</v>
      </c>
      <c r="F21" s="23"/>
      <c r="G21" s="24">
        <v>1</v>
      </c>
      <c r="H21" s="25"/>
      <c r="I21" s="26"/>
      <c r="J21" s="27"/>
      <c r="K21" s="28">
        <v>3</v>
      </c>
      <c r="L21" s="15"/>
      <c r="M21" s="16"/>
      <c r="N21" s="15"/>
      <c r="O21" s="16"/>
      <c r="P21" s="17"/>
    </row>
    <row r="22" spans="1:16">
      <c r="A22" s="18" t="str">
        <f t="shared" si="0"/>
        <v>20260728-018</v>
      </c>
      <c r="B22" s="19">
        <f t="shared" si="1"/>
        <v>46231</v>
      </c>
      <c r="C22" s="20" t="s">
        <v>43</v>
      </c>
      <c r="D22" s="21"/>
      <c r="E22" s="22">
        <v>2</v>
      </c>
      <c r="F22" s="23"/>
      <c r="G22" s="24"/>
      <c r="H22" s="25">
        <v>2</v>
      </c>
      <c r="I22" s="26">
        <v>3</v>
      </c>
      <c r="J22" s="27"/>
      <c r="K22" s="28">
        <v>2</v>
      </c>
      <c r="L22" s="15"/>
      <c r="M22" s="16"/>
      <c r="N22" s="15"/>
      <c r="O22" s="16"/>
      <c r="P22" s="30"/>
    </row>
    <row r="23" spans="1:16">
      <c r="A23" s="18" t="str">
        <f t="shared" si="0"/>
        <v>20260728-019</v>
      </c>
      <c r="B23" s="19">
        <f t="shared" si="1"/>
        <v>46231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20260728-020</v>
      </c>
      <c r="B24" s="19">
        <f t="shared" si="1"/>
        <v>46231</v>
      </c>
      <c r="C24" s="20" t="s">
        <v>45</v>
      </c>
      <c r="D24" s="21"/>
      <c r="E24" s="22"/>
      <c r="F24" s="23"/>
      <c r="G24" s="24"/>
      <c r="H24" s="25"/>
      <c r="I24" s="26"/>
      <c r="J24" s="27"/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20260728-021</v>
      </c>
      <c r="B25" s="19">
        <f t="shared" si="1"/>
        <v>46231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20260728-022</v>
      </c>
      <c r="B26" s="19">
        <f t="shared" si="1"/>
        <v>46231</v>
      </c>
      <c r="C26" s="20" t="s">
        <v>47</v>
      </c>
      <c r="D26" s="21"/>
      <c r="E26" s="22"/>
      <c r="F26" s="23"/>
      <c r="G26" s="24"/>
      <c r="H26" s="25"/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20260728-023</v>
      </c>
      <c r="B27" s="19">
        <f t="shared" si="1"/>
        <v>46231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20260728-024</v>
      </c>
      <c r="B28" s="19">
        <f t="shared" si="1"/>
        <v>46231</v>
      </c>
      <c r="C28" s="20" t="s">
        <v>49</v>
      </c>
      <c r="D28" s="21"/>
      <c r="E28" s="22">
        <v>1</v>
      </c>
      <c r="F28" s="23"/>
      <c r="G28" s="24">
        <v>1</v>
      </c>
      <c r="H28" s="25"/>
      <c r="I28" s="26"/>
      <c r="J28" s="27"/>
      <c r="K28" s="28">
        <v>4</v>
      </c>
      <c r="L28" s="15"/>
      <c r="M28" s="16"/>
      <c r="N28" s="15"/>
      <c r="O28" s="16"/>
      <c r="P28" s="30"/>
    </row>
    <row r="29" spans="1:16">
      <c r="A29" s="18" t="str">
        <f t="shared" si="0"/>
        <v>20260728-025</v>
      </c>
      <c r="B29" s="19">
        <f t="shared" si="1"/>
        <v>46231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20260728-026</v>
      </c>
      <c r="B30" s="19">
        <f t="shared" si="1"/>
        <v>46231</v>
      </c>
      <c r="C30" s="20" t="s">
        <v>51</v>
      </c>
      <c r="D30" s="21"/>
      <c r="E30" s="22">
        <v>1</v>
      </c>
      <c r="F30" s="23"/>
      <c r="G30" s="24">
        <v>2</v>
      </c>
      <c r="H30" s="25"/>
      <c r="I30" s="26"/>
      <c r="J30" s="27"/>
      <c r="K30" s="28">
        <v>6</v>
      </c>
      <c r="L30" s="15"/>
      <c r="M30" s="16"/>
      <c r="N30" s="15"/>
      <c r="O30" s="16"/>
      <c r="P30" s="30"/>
    </row>
    <row r="31" spans="1:16">
      <c r="A31" s="18" t="str">
        <f t="shared" si="0"/>
        <v>20260728-027</v>
      </c>
      <c r="B31" s="19">
        <f t="shared" si="1"/>
        <v>46231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20260728-028</v>
      </c>
      <c r="B32" s="19">
        <f t="shared" si="1"/>
        <v>46231</v>
      </c>
      <c r="C32" s="20" t="s">
        <v>53</v>
      </c>
      <c r="D32" s="21"/>
      <c r="E32" s="22"/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20260728-029</v>
      </c>
      <c r="B33" s="19">
        <f t="shared" si="1"/>
        <v>46231</v>
      </c>
      <c r="C33" s="20" t="s">
        <v>54</v>
      </c>
      <c r="D33" s="31"/>
      <c r="E33" s="22"/>
      <c r="F33" s="23"/>
      <c r="G33" s="24">
        <v>4</v>
      </c>
      <c r="H33" s="25"/>
      <c r="I33" s="26"/>
      <c r="J33" s="27"/>
      <c r="K33" s="28">
        <v>2</v>
      </c>
      <c r="L33" s="15"/>
      <c r="M33" s="16"/>
      <c r="N33" s="15"/>
      <c r="O33" s="16"/>
      <c r="P33" s="17"/>
    </row>
    <row r="34" spans="1:16">
      <c r="A34" s="18" t="str">
        <f t="shared" si="0"/>
        <v>20260728-030</v>
      </c>
      <c r="B34" s="19">
        <f t="shared" si="1"/>
        <v>46231</v>
      </c>
      <c r="C34" s="20" t="s">
        <v>55</v>
      </c>
      <c r="D34" s="21"/>
      <c r="E34" s="22"/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20260728-031</v>
      </c>
      <c r="B35" s="19">
        <f t="shared" si="1"/>
        <v>46231</v>
      </c>
      <c r="C35" s="20" t="s">
        <v>56</v>
      </c>
      <c r="D35" s="31">
        <v>10</v>
      </c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20260728-032</v>
      </c>
      <c r="B36" s="19">
        <f t="shared" si="1"/>
        <v>46231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20260728-033</v>
      </c>
      <c r="B37" s="19">
        <f t="shared" si="1"/>
        <v>46231</v>
      </c>
      <c r="C37" s="20" t="s">
        <v>58</v>
      </c>
      <c r="D37" s="31"/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20260728-034</v>
      </c>
      <c r="B38" s="19">
        <f t="shared" ref="B38:B69" si="3">$B$5</f>
        <v>46231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20260728-035</v>
      </c>
      <c r="B39" s="19">
        <f t="shared" si="3"/>
        <v>46231</v>
      </c>
      <c r="C39" s="20" t="s">
        <v>60</v>
      </c>
      <c r="D39" s="31"/>
      <c r="E39" s="22"/>
      <c r="F39" s="23"/>
      <c r="G39" s="24">
        <v>1</v>
      </c>
      <c r="H39" s="25"/>
      <c r="I39" s="26"/>
      <c r="J39" s="27"/>
      <c r="K39" s="28">
        <v>1</v>
      </c>
      <c r="L39" s="15"/>
      <c r="M39" s="16"/>
      <c r="N39" s="15"/>
      <c r="O39" s="16"/>
      <c r="P39" s="17"/>
    </row>
    <row r="40" spans="1:16">
      <c r="A40" s="18" t="str">
        <f t="shared" si="2"/>
        <v>20260728-036</v>
      </c>
      <c r="B40" s="19">
        <f t="shared" si="3"/>
        <v>46231</v>
      </c>
      <c r="C40" s="20" t="s">
        <v>61</v>
      </c>
      <c r="D40" s="21"/>
      <c r="E40" s="22"/>
      <c r="F40" s="23"/>
      <c r="G40" s="24"/>
      <c r="H40" s="25"/>
      <c r="I40" s="26"/>
      <c r="J40" s="27"/>
      <c r="K40" s="28"/>
      <c r="L40" s="15"/>
      <c r="M40" s="16"/>
      <c r="N40" s="15"/>
      <c r="O40" s="16"/>
      <c r="P40" s="30"/>
    </row>
    <row r="41" spans="1:16">
      <c r="A41" s="18" t="str">
        <f t="shared" si="2"/>
        <v>20260728-037</v>
      </c>
      <c r="B41" s="19">
        <f t="shared" si="3"/>
        <v>46231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20260728-038</v>
      </c>
      <c r="B42" s="19">
        <f t="shared" si="3"/>
        <v>46231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20260728-039</v>
      </c>
      <c r="B43" s="19">
        <f t="shared" si="3"/>
        <v>46231</v>
      </c>
      <c r="C43" s="20" t="s">
        <v>64</v>
      </c>
      <c r="D43" s="31"/>
      <c r="E43" s="22">
        <v>1</v>
      </c>
      <c r="F43" s="23"/>
      <c r="G43" s="24"/>
      <c r="H43" s="25"/>
      <c r="I43" s="26"/>
      <c r="J43" s="27"/>
      <c r="K43" s="28">
        <v>1</v>
      </c>
      <c r="L43" s="15"/>
      <c r="M43" s="16"/>
      <c r="N43" s="15"/>
      <c r="O43" s="16"/>
      <c r="P43" s="17"/>
    </row>
    <row r="44" spans="1:16">
      <c r="A44" s="18" t="str">
        <f t="shared" si="2"/>
        <v>20260728-040</v>
      </c>
      <c r="B44" s="19">
        <f t="shared" si="3"/>
        <v>46231</v>
      </c>
      <c r="C44" s="20" t="s">
        <v>65</v>
      </c>
      <c r="D44" s="21"/>
      <c r="E44" s="22">
        <v>1</v>
      </c>
      <c r="F44" s="23"/>
      <c r="G44" s="24"/>
      <c r="H44" s="25"/>
      <c r="I44" s="26"/>
      <c r="J44" s="27"/>
      <c r="K44" s="28">
        <v>1</v>
      </c>
      <c r="L44" s="15"/>
      <c r="M44" s="16"/>
      <c r="N44" s="15"/>
      <c r="O44" s="16"/>
      <c r="P44" s="30"/>
    </row>
    <row r="45" spans="1:16">
      <c r="A45" s="18" t="str">
        <f t="shared" si="2"/>
        <v>20260728-041</v>
      </c>
      <c r="B45" s="19">
        <f t="shared" si="3"/>
        <v>46231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20260728-042</v>
      </c>
      <c r="B46" s="19">
        <f t="shared" si="3"/>
        <v>46231</v>
      </c>
      <c r="C46" s="20" t="s">
        <v>67</v>
      </c>
      <c r="D46" s="21"/>
      <c r="E46" s="22"/>
      <c r="F46" s="23"/>
      <c r="G46" s="24">
        <v>1</v>
      </c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20260728-043</v>
      </c>
      <c r="B47" s="19">
        <f t="shared" si="3"/>
        <v>46231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20260728-044</v>
      </c>
      <c r="B48" s="19">
        <f t="shared" si="3"/>
        <v>46231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20260728-045</v>
      </c>
      <c r="B49" s="19">
        <f t="shared" si="3"/>
        <v>46231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20260728-046</v>
      </c>
      <c r="B50" s="19">
        <f t="shared" si="3"/>
        <v>46231</v>
      </c>
      <c r="C50" s="20" t="s">
        <v>71</v>
      </c>
      <c r="D50" s="21"/>
      <c r="E50" s="22"/>
      <c r="F50" s="23"/>
      <c r="G50" s="24"/>
      <c r="H50" s="25"/>
      <c r="I50" s="26"/>
      <c r="J50" s="27"/>
      <c r="K50" s="28"/>
      <c r="L50" s="15"/>
      <c r="M50" s="16"/>
      <c r="N50" s="15"/>
      <c r="O50" s="16"/>
      <c r="P50" s="30"/>
    </row>
    <row r="51" spans="1:16">
      <c r="A51" s="18" t="str">
        <f t="shared" si="2"/>
        <v>20260728-047</v>
      </c>
      <c r="B51" s="19">
        <f t="shared" si="3"/>
        <v>46231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20260728-048</v>
      </c>
      <c r="B52" s="19">
        <f t="shared" si="3"/>
        <v>46231</v>
      </c>
      <c r="C52" s="20" t="s">
        <v>73</v>
      </c>
      <c r="D52" s="21"/>
      <c r="E52" s="22"/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20260728-049</v>
      </c>
      <c r="B53" s="19">
        <f t="shared" si="3"/>
        <v>46231</v>
      </c>
      <c r="C53" s="20" t="s">
        <v>74</v>
      </c>
      <c r="D53" s="31"/>
      <c r="E53" s="22"/>
      <c r="F53" s="23"/>
      <c r="G53" s="24"/>
      <c r="H53" s="25"/>
      <c r="I53" s="26"/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20260728-050</v>
      </c>
      <c r="B54" s="19">
        <f t="shared" si="3"/>
        <v>46231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20260728-051</v>
      </c>
      <c r="B55" s="19">
        <f t="shared" si="3"/>
        <v>46231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20260728-052</v>
      </c>
      <c r="B56" s="19">
        <f t="shared" si="3"/>
        <v>46231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20260728-053</v>
      </c>
      <c r="B57" s="19">
        <f t="shared" si="3"/>
        <v>46231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20260728-054</v>
      </c>
      <c r="B58" s="19">
        <f t="shared" si="3"/>
        <v>46231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20260728-055</v>
      </c>
      <c r="B59" s="19">
        <f t="shared" si="3"/>
        <v>46231</v>
      </c>
      <c r="C59" s="20" t="s">
        <v>80</v>
      </c>
      <c r="D59" s="31"/>
      <c r="E59" s="22">
        <v>1</v>
      </c>
      <c r="F59" s="23"/>
      <c r="G59" s="24"/>
      <c r="H59" s="25"/>
      <c r="I59" s="26"/>
      <c r="J59" s="27"/>
      <c r="K59" s="28">
        <v>2</v>
      </c>
      <c r="L59" s="15"/>
      <c r="M59" s="16"/>
      <c r="N59" s="15"/>
      <c r="O59" s="16"/>
      <c r="P59" s="17"/>
    </row>
    <row r="60" spans="1:16">
      <c r="A60" s="18" t="str">
        <f t="shared" si="2"/>
        <v>20260728-056</v>
      </c>
      <c r="B60" s="19">
        <f t="shared" si="3"/>
        <v>46231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20260728-057</v>
      </c>
      <c r="B61" s="19">
        <f t="shared" si="3"/>
        <v>46231</v>
      </c>
      <c r="C61" s="20" t="s">
        <v>82</v>
      </c>
      <c r="D61" s="21"/>
      <c r="E61" s="22">
        <v>2</v>
      </c>
      <c r="F61" s="23"/>
      <c r="G61" s="24">
        <v>2</v>
      </c>
      <c r="H61" s="25"/>
      <c r="I61" s="26"/>
      <c r="J61" s="27">
        <v>5</v>
      </c>
      <c r="K61" s="28">
        <v>2</v>
      </c>
      <c r="L61" s="15"/>
      <c r="M61" s="16"/>
      <c r="N61" s="15"/>
      <c r="O61" s="16"/>
      <c r="P61" s="30"/>
    </row>
    <row r="62" spans="1:16">
      <c r="A62" s="18" t="str">
        <f t="shared" si="2"/>
        <v>20260728-058</v>
      </c>
      <c r="B62" s="19">
        <f t="shared" si="3"/>
        <v>46231</v>
      </c>
      <c r="C62" s="20" t="s">
        <v>83</v>
      </c>
      <c r="D62" s="31"/>
      <c r="E62" s="22"/>
      <c r="F62" s="23"/>
      <c r="G62" s="24"/>
      <c r="H62" s="25">
        <v>4</v>
      </c>
      <c r="I62" s="26">
        <v>3</v>
      </c>
      <c r="J62" s="27"/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20260728-059</v>
      </c>
      <c r="B63" s="19">
        <f t="shared" si="3"/>
        <v>46231</v>
      </c>
      <c r="C63" s="20" t="s">
        <v>84</v>
      </c>
      <c r="D63" s="21"/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20260728-060</v>
      </c>
      <c r="B64" s="19">
        <f t="shared" si="3"/>
        <v>46231</v>
      </c>
      <c r="C64" s="20" t="s">
        <v>85</v>
      </c>
      <c r="D64" s="31"/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20260728-061</v>
      </c>
      <c r="B65" s="19">
        <f t="shared" si="3"/>
        <v>46231</v>
      </c>
      <c r="C65" s="20" t="s">
        <v>86</v>
      </c>
      <c r="D65" s="21"/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20260728-062</v>
      </c>
      <c r="B66" s="19">
        <f t="shared" si="3"/>
        <v>46231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20260728-063</v>
      </c>
      <c r="B67" s="19">
        <f t="shared" si="3"/>
        <v>46231</v>
      </c>
      <c r="C67" s="20" t="s">
        <v>88</v>
      </c>
      <c r="D67" s="21"/>
      <c r="E67" s="22"/>
      <c r="F67" s="23"/>
      <c r="G67" s="24"/>
      <c r="H67" s="25"/>
      <c r="I67" s="26"/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20260728-064</v>
      </c>
      <c r="B68" s="19">
        <f t="shared" si="3"/>
        <v>46231</v>
      </c>
      <c r="C68" s="20" t="s">
        <v>89</v>
      </c>
      <c r="D68" s="31"/>
      <c r="E68" s="22"/>
      <c r="F68" s="23"/>
      <c r="G68" s="24"/>
      <c r="H68" s="25"/>
      <c r="I68" s="26"/>
      <c r="J68" s="27"/>
      <c r="K68" s="28"/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20260728-065</v>
      </c>
      <c r="B69" s="19">
        <f t="shared" si="3"/>
        <v>46231</v>
      </c>
      <c r="C69" s="20" t="s">
        <v>90</v>
      </c>
      <c r="D69" s="21"/>
      <c r="E69" s="22"/>
      <c r="F69" s="23"/>
      <c r="G69" s="24"/>
      <c r="H69" s="25"/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20260728-066</v>
      </c>
      <c r="B70" s="19">
        <f t="shared" ref="B70:B80" si="5">$B$5</f>
        <v>46231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20260728-067</v>
      </c>
      <c r="B71" s="19">
        <f t="shared" si="5"/>
        <v>46231</v>
      </c>
      <c r="C71" s="20" t="s">
        <v>92</v>
      </c>
      <c r="D71" s="21"/>
      <c r="E71" s="22"/>
      <c r="F71" s="23"/>
      <c r="G71" s="24">
        <v>1</v>
      </c>
      <c r="H71" s="25"/>
      <c r="I71" s="26"/>
      <c r="J71" s="27"/>
      <c r="K71" s="28">
        <v>1</v>
      </c>
      <c r="L71" s="15"/>
      <c r="M71" s="16"/>
      <c r="N71" s="15"/>
      <c r="O71" s="16"/>
      <c r="P71" s="30"/>
    </row>
    <row r="72" spans="1:16">
      <c r="A72" s="18" t="str">
        <f t="shared" si="4"/>
        <v>20260728-068</v>
      </c>
      <c r="B72" s="19">
        <f t="shared" si="5"/>
        <v>46231</v>
      </c>
      <c r="C72" s="20" t="s">
        <v>93</v>
      </c>
      <c r="D72" s="31"/>
      <c r="E72" s="22">
        <v>1</v>
      </c>
      <c r="F72" s="23"/>
      <c r="G72" s="24"/>
      <c r="H72" s="25"/>
      <c r="I72" s="26"/>
      <c r="J72" s="27"/>
      <c r="K72" s="28">
        <v>3</v>
      </c>
      <c r="L72" s="15"/>
      <c r="M72" s="16"/>
      <c r="N72" s="15"/>
      <c r="O72" s="16"/>
      <c r="P72" s="17"/>
    </row>
    <row r="73" spans="1:16">
      <c r="A73" s="18" t="str">
        <f t="shared" si="4"/>
        <v>20260728-069</v>
      </c>
      <c r="B73" s="19">
        <f t="shared" si="5"/>
        <v>46231</v>
      </c>
      <c r="C73" s="20" t="s">
        <v>94</v>
      </c>
      <c r="D73" s="21"/>
      <c r="E73" s="22">
        <v>1</v>
      </c>
      <c r="F73" s="23"/>
      <c r="G73" s="24"/>
      <c r="H73" s="25"/>
      <c r="I73" s="26"/>
      <c r="J73" s="27"/>
      <c r="K73" s="28">
        <v>1</v>
      </c>
      <c r="L73" s="15"/>
      <c r="M73" s="16"/>
      <c r="N73" s="15"/>
      <c r="O73" s="16"/>
      <c r="P73" s="30"/>
    </row>
    <row r="74" spans="1:16">
      <c r="A74" s="18" t="str">
        <f t="shared" si="4"/>
        <v>20260728-070</v>
      </c>
      <c r="B74" s="19">
        <f t="shared" si="5"/>
        <v>46231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1</v>
      </c>
      <c r="M74" s="16"/>
      <c r="N74" s="15"/>
      <c r="O74" s="16"/>
    </row>
    <row r="75" spans="1:16">
      <c r="A75" s="18" t="str">
        <f t="shared" si="4"/>
        <v>20260728-071</v>
      </c>
      <c r="B75" s="19">
        <f t="shared" si="5"/>
        <v>46231</v>
      </c>
      <c r="C75" s="20" t="s">
        <v>96</v>
      </c>
      <c r="D75" s="21"/>
      <c r="E75" s="22"/>
      <c r="F75" s="23"/>
      <c r="G75" s="24">
        <v>2</v>
      </c>
      <c r="H75" s="25"/>
      <c r="I75" s="26"/>
      <c r="J75" s="27"/>
      <c r="K75" s="28">
        <v>1</v>
      </c>
      <c r="L75" s="15"/>
      <c r="M75" s="16"/>
      <c r="N75" s="15"/>
      <c r="O75" s="16"/>
      <c r="P75" s="30"/>
    </row>
    <row r="76" spans="1:16">
      <c r="A76" s="18" t="str">
        <f t="shared" si="4"/>
        <v>20260728-072</v>
      </c>
      <c r="B76" s="19">
        <f t="shared" si="5"/>
        <v>46231</v>
      </c>
      <c r="C76" s="20" t="s">
        <v>97</v>
      </c>
      <c r="D76" s="31"/>
      <c r="E76" s="22"/>
      <c r="F76" s="23"/>
      <c r="G76" s="24">
        <v>1</v>
      </c>
      <c r="H76" s="25"/>
      <c r="I76" s="26"/>
      <c r="J76" s="27"/>
      <c r="K76" s="28">
        <v>2</v>
      </c>
      <c r="L76" s="15"/>
      <c r="M76" s="16"/>
      <c r="N76" s="15"/>
      <c r="O76" s="16"/>
    </row>
    <row r="77" spans="1:16">
      <c r="A77" s="18" t="str">
        <f t="shared" si="4"/>
        <v>20260728-073</v>
      </c>
      <c r="B77" s="19">
        <f t="shared" si="5"/>
        <v>46231</v>
      </c>
      <c r="C77" s="20" t="s">
        <v>98</v>
      </c>
      <c r="D77" s="21"/>
      <c r="E77" s="22"/>
      <c r="F77" s="23"/>
      <c r="G77" s="24">
        <v>1</v>
      </c>
      <c r="H77" s="25"/>
      <c r="I77" s="26"/>
      <c r="J77" s="27"/>
      <c r="K77" s="28"/>
      <c r="L77" s="34">
        <v>1</v>
      </c>
      <c r="M77" s="16"/>
      <c r="N77" s="15"/>
      <c r="O77" s="16"/>
      <c r="P77" s="30"/>
    </row>
    <row r="78" spans="1:16">
      <c r="A78" s="18" t="str">
        <f t="shared" si="4"/>
        <v>20260728-074</v>
      </c>
      <c r="B78" s="19">
        <f t="shared" si="5"/>
        <v>46231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20260728-075</v>
      </c>
      <c r="B79" s="19">
        <f t="shared" si="5"/>
        <v>46231</v>
      </c>
      <c r="C79" s="20" t="s">
        <v>100</v>
      </c>
      <c r="D79" s="21"/>
      <c r="E79" s="22">
        <v>1</v>
      </c>
      <c r="F79" s="23"/>
      <c r="G79" s="24"/>
      <c r="H79" s="25"/>
      <c r="I79" s="26"/>
      <c r="J79" s="27"/>
      <c r="K79" s="28">
        <v>1</v>
      </c>
      <c r="L79" s="15"/>
      <c r="M79" s="16"/>
      <c r="N79" s="15"/>
      <c r="O79" s="16"/>
      <c r="P79" s="30"/>
    </row>
    <row r="80" spans="1:16">
      <c r="A80" s="18" t="str">
        <f t="shared" si="4"/>
        <v>20260728-076</v>
      </c>
      <c r="B80" s="19">
        <f t="shared" si="5"/>
        <v>46231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80"/>
  <sheetViews>
    <sheetView topLeftCell="B1" zoomScale="85" zoomScaleNormal="85" workbookViewId="0">
      <selection activeCell="I27" sqref="I27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20260729-001</v>
      </c>
      <c r="B5" s="5">
        <v>46232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20260729-002</v>
      </c>
      <c r="B6" s="19">
        <f t="shared" ref="B6:B37" si="1">$B$5</f>
        <v>46232</v>
      </c>
      <c r="C6" s="20" t="s">
        <v>28</v>
      </c>
      <c r="D6" s="21">
        <v>10</v>
      </c>
      <c r="E6" s="22">
        <v>5</v>
      </c>
      <c r="F6" s="23"/>
      <c r="G6" s="24">
        <v>6</v>
      </c>
      <c r="H6" s="25"/>
      <c r="I6" s="26"/>
      <c r="J6" s="27"/>
      <c r="K6" s="28">
        <v>8</v>
      </c>
      <c r="L6" s="15"/>
      <c r="M6" s="29"/>
      <c r="N6" s="15"/>
      <c r="O6" s="29"/>
      <c r="P6" s="30"/>
    </row>
    <row r="7" spans="1:16">
      <c r="A7" s="18" t="str">
        <f t="shared" si="0"/>
        <v>20260729-003</v>
      </c>
      <c r="B7" s="19">
        <f t="shared" si="1"/>
        <v>46232</v>
      </c>
      <c r="C7" s="20" t="s">
        <v>29</v>
      </c>
      <c r="D7" s="31"/>
      <c r="E7" s="22"/>
      <c r="F7" s="23"/>
      <c r="G7" s="24"/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20260729-004</v>
      </c>
      <c r="B8" s="19">
        <f t="shared" si="1"/>
        <v>46232</v>
      </c>
      <c r="C8" s="20" t="s">
        <v>30</v>
      </c>
      <c r="D8" s="21"/>
      <c r="E8" s="22"/>
      <c r="F8" s="23"/>
      <c r="G8" s="24"/>
      <c r="H8" s="25"/>
      <c r="I8" s="26"/>
      <c r="J8" s="27"/>
      <c r="K8" s="28"/>
      <c r="L8" s="15"/>
      <c r="M8" s="16"/>
      <c r="N8" s="15"/>
      <c r="O8" s="16"/>
      <c r="P8" s="30"/>
    </row>
    <row r="9" spans="1:16">
      <c r="A9" s="18" t="str">
        <f t="shared" si="0"/>
        <v>20260729-005</v>
      </c>
      <c r="B9" s="19">
        <f t="shared" si="1"/>
        <v>46232</v>
      </c>
      <c r="C9" s="20" t="s">
        <v>31</v>
      </c>
      <c r="D9" s="31"/>
      <c r="E9" s="22"/>
      <c r="F9" s="23"/>
      <c r="G9" s="24">
        <v>1</v>
      </c>
      <c r="H9" s="25"/>
      <c r="I9" s="26"/>
      <c r="J9" s="27"/>
      <c r="K9" s="28">
        <v>1</v>
      </c>
      <c r="L9" s="15"/>
      <c r="M9" s="29"/>
      <c r="N9" s="15"/>
      <c r="O9" s="29"/>
      <c r="P9" s="17"/>
    </row>
    <row r="10" spans="1:16">
      <c r="A10" s="18" t="str">
        <f t="shared" si="0"/>
        <v>20260729-006</v>
      </c>
      <c r="B10" s="19">
        <f t="shared" si="1"/>
        <v>46232</v>
      </c>
      <c r="C10" s="20" t="s">
        <v>32</v>
      </c>
      <c r="D10" s="21"/>
      <c r="E10" s="22"/>
      <c r="F10" s="23"/>
      <c r="G10" s="24"/>
      <c r="H10" s="25"/>
      <c r="I10" s="26">
        <v>2</v>
      </c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20260729-007</v>
      </c>
      <c r="B11" s="19">
        <f t="shared" si="1"/>
        <v>46232</v>
      </c>
      <c r="C11" s="20" t="s">
        <v>33</v>
      </c>
      <c r="D11" s="31"/>
      <c r="E11" s="22"/>
      <c r="F11" s="23"/>
      <c r="G11" s="24"/>
      <c r="H11" s="25">
        <v>20</v>
      </c>
      <c r="I11" s="26">
        <v>20</v>
      </c>
      <c r="J11" s="27"/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20260729-008</v>
      </c>
      <c r="B12" s="19">
        <f t="shared" si="1"/>
        <v>46232</v>
      </c>
      <c r="C12" s="33" t="s">
        <v>34</v>
      </c>
      <c r="D12" s="21"/>
      <c r="E12" s="22">
        <v>5</v>
      </c>
      <c r="F12" s="23"/>
      <c r="G12" s="24">
        <v>13</v>
      </c>
      <c r="H12" s="25"/>
      <c r="I12" s="26"/>
      <c r="J12" s="27"/>
      <c r="K12" s="28">
        <v>13</v>
      </c>
      <c r="L12" s="15"/>
      <c r="M12" s="16"/>
      <c r="N12" s="15"/>
      <c r="O12" s="16"/>
      <c r="P12" s="30"/>
    </row>
    <row r="13" spans="1:16">
      <c r="A13" s="18" t="str">
        <f t="shared" si="0"/>
        <v>20260729-009</v>
      </c>
      <c r="B13" s="19">
        <f t="shared" si="1"/>
        <v>46232</v>
      </c>
      <c r="C13" s="33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20260729-010</v>
      </c>
      <c r="B14" s="19">
        <f t="shared" si="1"/>
        <v>46232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20260729-011</v>
      </c>
      <c r="B15" s="19">
        <f t="shared" si="1"/>
        <v>46232</v>
      </c>
      <c r="C15" s="33" t="s">
        <v>36</v>
      </c>
      <c r="D15" s="31"/>
      <c r="E15" s="22"/>
      <c r="F15" s="23"/>
      <c r="G15" s="24"/>
      <c r="H15" s="25">
        <v>10</v>
      </c>
      <c r="I15" s="26">
        <v>5</v>
      </c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20260729-012</v>
      </c>
      <c r="B16" s="19">
        <f t="shared" si="1"/>
        <v>46232</v>
      </c>
      <c r="C16" s="20" t="s">
        <v>37</v>
      </c>
      <c r="D16" s="21"/>
      <c r="E16" s="22"/>
      <c r="F16" s="23"/>
      <c r="G16" s="24"/>
      <c r="H16" s="25"/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20260729-013</v>
      </c>
      <c r="B17" s="19">
        <f t="shared" si="1"/>
        <v>46232</v>
      </c>
      <c r="C17" s="20" t="s">
        <v>38</v>
      </c>
      <c r="D17" s="31"/>
      <c r="E17" s="22"/>
      <c r="F17" s="23"/>
      <c r="G17" s="24"/>
      <c r="H17" s="25"/>
      <c r="I17" s="26"/>
      <c r="J17" s="27"/>
      <c r="K17" s="28"/>
      <c r="L17" s="15"/>
      <c r="M17" s="16"/>
      <c r="N17" s="15"/>
      <c r="O17" s="16"/>
      <c r="P17" s="17"/>
    </row>
    <row r="18" spans="1:16">
      <c r="A18" s="18" t="str">
        <f t="shared" si="0"/>
        <v>20260729-014</v>
      </c>
      <c r="B18" s="19">
        <f t="shared" si="1"/>
        <v>46232</v>
      </c>
      <c r="C18" s="20" t="s">
        <v>39</v>
      </c>
      <c r="D18" s="21"/>
      <c r="E18" s="22"/>
      <c r="F18" s="23"/>
      <c r="G18" s="24"/>
      <c r="H18" s="25">
        <v>1</v>
      </c>
      <c r="I18" s="26">
        <v>2</v>
      </c>
      <c r="J18" s="27">
        <v>1</v>
      </c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20260729-015</v>
      </c>
      <c r="B19" s="19">
        <f t="shared" si="1"/>
        <v>46232</v>
      </c>
      <c r="C19" s="20" t="s">
        <v>40</v>
      </c>
      <c r="D19" s="31"/>
      <c r="E19" s="22">
        <v>1</v>
      </c>
      <c r="F19" s="23"/>
      <c r="G19" s="24"/>
      <c r="H19" s="25"/>
      <c r="I19" s="26"/>
      <c r="J19" s="27"/>
      <c r="K19" s="28">
        <v>2</v>
      </c>
      <c r="L19" s="15"/>
      <c r="M19" s="16"/>
      <c r="N19" s="15"/>
      <c r="O19" s="16"/>
      <c r="P19" s="17"/>
    </row>
    <row r="20" spans="1:16">
      <c r="A20" s="18" t="str">
        <f t="shared" si="0"/>
        <v>20260729-016</v>
      </c>
      <c r="B20" s="19">
        <f t="shared" si="1"/>
        <v>46232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20260729-017</v>
      </c>
      <c r="B21" s="19">
        <f t="shared" si="1"/>
        <v>46232</v>
      </c>
      <c r="C21" s="20" t="s">
        <v>42</v>
      </c>
      <c r="D21" s="31"/>
      <c r="E21" s="22">
        <v>1</v>
      </c>
      <c r="F21" s="23"/>
      <c r="G21" s="24">
        <v>1</v>
      </c>
      <c r="H21" s="25"/>
      <c r="I21" s="26"/>
      <c r="J21" s="27"/>
      <c r="K21" s="28">
        <v>4</v>
      </c>
      <c r="L21" s="15"/>
      <c r="M21" s="16"/>
      <c r="N21" s="15"/>
      <c r="O21" s="16"/>
      <c r="P21" s="17"/>
    </row>
    <row r="22" spans="1:16">
      <c r="A22" s="18" t="str">
        <f t="shared" si="0"/>
        <v>20260729-018</v>
      </c>
      <c r="B22" s="19">
        <f t="shared" si="1"/>
        <v>46232</v>
      </c>
      <c r="C22" s="20" t="s">
        <v>43</v>
      </c>
      <c r="D22" s="21"/>
      <c r="E22" s="22"/>
      <c r="F22" s="23"/>
      <c r="G22" s="24">
        <v>2</v>
      </c>
      <c r="H22" s="25">
        <v>5</v>
      </c>
      <c r="I22" s="26">
        <v>8</v>
      </c>
      <c r="J22" s="27"/>
      <c r="K22" s="28"/>
      <c r="L22" s="15"/>
      <c r="M22" s="16"/>
      <c r="N22" s="15"/>
      <c r="O22" s="16"/>
      <c r="P22" s="30"/>
    </row>
    <row r="23" spans="1:16">
      <c r="A23" s="18" t="str">
        <f t="shared" si="0"/>
        <v>20260729-019</v>
      </c>
      <c r="B23" s="19">
        <f t="shared" si="1"/>
        <v>46232</v>
      </c>
      <c r="C23" s="20" t="s">
        <v>44</v>
      </c>
      <c r="D23" s="31"/>
      <c r="E23" s="22"/>
      <c r="F23" s="23"/>
      <c r="G23" s="24"/>
      <c r="H23" s="25">
        <v>9</v>
      </c>
      <c r="I23" s="26">
        <v>4</v>
      </c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20260729-020</v>
      </c>
      <c r="B24" s="19">
        <f t="shared" si="1"/>
        <v>46232</v>
      </c>
      <c r="C24" s="20" t="s">
        <v>45</v>
      </c>
      <c r="D24" s="21">
        <v>15</v>
      </c>
      <c r="E24" s="22"/>
      <c r="F24" s="23"/>
      <c r="G24" s="24"/>
      <c r="H24" s="25"/>
      <c r="I24" s="26">
        <v>3</v>
      </c>
      <c r="J24" s="27">
        <v>1</v>
      </c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20260729-021</v>
      </c>
      <c r="B25" s="19">
        <f t="shared" si="1"/>
        <v>46232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20260729-022</v>
      </c>
      <c r="B26" s="19">
        <f t="shared" si="1"/>
        <v>46232</v>
      </c>
      <c r="C26" s="20" t="s">
        <v>47</v>
      </c>
      <c r="D26" s="21"/>
      <c r="E26" s="22"/>
      <c r="F26" s="23"/>
      <c r="G26" s="24"/>
      <c r="H26" s="25"/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20260729-023</v>
      </c>
      <c r="B27" s="19">
        <f t="shared" si="1"/>
        <v>46232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20260729-024</v>
      </c>
      <c r="B28" s="19">
        <f t="shared" si="1"/>
        <v>46232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20260729-025</v>
      </c>
      <c r="B29" s="19">
        <f t="shared" si="1"/>
        <v>46232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20260729-026</v>
      </c>
      <c r="B30" s="19">
        <f t="shared" si="1"/>
        <v>46232</v>
      </c>
      <c r="C30" s="20" t="s">
        <v>51</v>
      </c>
      <c r="D30" s="21"/>
      <c r="E30" s="22"/>
      <c r="F30" s="23"/>
      <c r="G30" s="24"/>
      <c r="H30" s="25"/>
      <c r="I30" s="26"/>
      <c r="J30" s="27"/>
      <c r="K30" s="28"/>
      <c r="L30" s="15"/>
      <c r="M30" s="16"/>
      <c r="N30" s="15"/>
      <c r="O30" s="16"/>
      <c r="P30" s="30"/>
    </row>
    <row r="31" spans="1:16">
      <c r="A31" s="18" t="str">
        <f t="shared" si="0"/>
        <v>20260729-027</v>
      </c>
      <c r="B31" s="19">
        <f t="shared" si="1"/>
        <v>46232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20260729-028</v>
      </c>
      <c r="B32" s="19">
        <f t="shared" si="1"/>
        <v>46232</v>
      </c>
      <c r="C32" s="20" t="s">
        <v>53</v>
      </c>
      <c r="D32" s="21"/>
      <c r="E32" s="22">
        <v>2</v>
      </c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20260729-029</v>
      </c>
      <c r="B33" s="19">
        <f t="shared" si="1"/>
        <v>46232</v>
      </c>
      <c r="C33" s="20" t="s">
        <v>54</v>
      </c>
      <c r="D33" s="31"/>
      <c r="E33" s="22"/>
      <c r="F33" s="23"/>
      <c r="G33" s="24">
        <v>2</v>
      </c>
      <c r="H33" s="25"/>
      <c r="I33" s="26"/>
      <c r="J33" s="27"/>
      <c r="K33" s="28">
        <v>6</v>
      </c>
      <c r="L33" s="15"/>
      <c r="M33" s="16"/>
      <c r="N33" s="15"/>
      <c r="O33" s="16"/>
      <c r="P33" s="17"/>
    </row>
    <row r="34" spans="1:16">
      <c r="A34" s="18" t="str">
        <f t="shared" si="0"/>
        <v>20260729-030</v>
      </c>
      <c r="B34" s="19">
        <f t="shared" si="1"/>
        <v>46232</v>
      </c>
      <c r="C34" s="20" t="s">
        <v>55</v>
      </c>
      <c r="D34" s="21"/>
      <c r="E34" s="22"/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20260729-031</v>
      </c>
      <c r="B35" s="19">
        <f t="shared" si="1"/>
        <v>46232</v>
      </c>
      <c r="C35" s="20" t="s">
        <v>56</v>
      </c>
      <c r="D35" s="31"/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20260729-032</v>
      </c>
      <c r="B36" s="19">
        <f t="shared" si="1"/>
        <v>46232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20260729-033</v>
      </c>
      <c r="B37" s="19">
        <f t="shared" si="1"/>
        <v>46232</v>
      </c>
      <c r="C37" s="20" t="s">
        <v>58</v>
      </c>
      <c r="D37" s="31"/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20260729-034</v>
      </c>
      <c r="B38" s="19">
        <f t="shared" ref="B38:B69" si="3">$B$5</f>
        <v>46232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20260729-035</v>
      </c>
      <c r="B39" s="19">
        <f t="shared" si="3"/>
        <v>46232</v>
      </c>
      <c r="C39" s="20" t="s">
        <v>60</v>
      </c>
      <c r="D39" s="31"/>
      <c r="E39" s="22"/>
      <c r="F39" s="23"/>
      <c r="G39" s="24"/>
      <c r="H39" s="25"/>
      <c r="I39" s="26"/>
      <c r="J39" s="27"/>
      <c r="K39" s="28"/>
      <c r="L39" s="15"/>
      <c r="M39" s="16"/>
      <c r="N39" s="15"/>
      <c r="O39" s="16"/>
      <c r="P39" s="17"/>
    </row>
    <row r="40" spans="1:16">
      <c r="A40" s="18" t="str">
        <f t="shared" si="2"/>
        <v>20260729-036</v>
      </c>
      <c r="B40" s="19">
        <f t="shared" si="3"/>
        <v>46232</v>
      </c>
      <c r="C40" s="20" t="s">
        <v>61</v>
      </c>
      <c r="D40" s="21"/>
      <c r="E40" s="22"/>
      <c r="F40" s="23"/>
      <c r="G40" s="24"/>
      <c r="H40" s="25"/>
      <c r="I40" s="26"/>
      <c r="J40" s="27"/>
      <c r="K40" s="28"/>
      <c r="L40" s="15"/>
      <c r="M40" s="16"/>
      <c r="N40" s="15"/>
      <c r="O40" s="16"/>
      <c r="P40" s="30"/>
    </row>
    <row r="41" spans="1:16">
      <c r="A41" s="18" t="str">
        <f t="shared" si="2"/>
        <v>20260729-037</v>
      </c>
      <c r="B41" s="19">
        <f t="shared" si="3"/>
        <v>46232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20260729-038</v>
      </c>
      <c r="B42" s="19">
        <f t="shared" si="3"/>
        <v>46232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20260729-039</v>
      </c>
      <c r="B43" s="19">
        <f t="shared" si="3"/>
        <v>46232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20260729-040</v>
      </c>
      <c r="B44" s="19">
        <f t="shared" si="3"/>
        <v>46232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20260729-041</v>
      </c>
      <c r="B45" s="19">
        <f t="shared" si="3"/>
        <v>46232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20260729-042</v>
      </c>
      <c r="B46" s="19">
        <f t="shared" si="3"/>
        <v>46232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20260729-043</v>
      </c>
      <c r="B47" s="19">
        <f t="shared" si="3"/>
        <v>46232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20260729-044</v>
      </c>
      <c r="B48" s="19">
        <f t="shared" si="3"/>
        <v>46232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20260729-045</v>
      </c>
      <c r="B49" s="19">
        <f t="shared" si="3"/>
        <v>46232</v>
      </c>
      <c r="C49" s="20" t="s">
        <v>70</v>
      </c>
      <c r="D49" s="31"/>
      <c r="E49" s="22">
        <v>1</v>
      </c>
      <c r="F49" s="23"/>
      <c r="G49" s="24"/>
      <c r="H49" s="25"/>
      <c r="I49" s="26"/>
      <c r="J49" s="27"/>
      <c r="K49" s="28">
        <v>1</v>
      </c>
      <c r="L49" s="15"/>
      <c r="M49" s="16"/>
      <c r="N49" s="15"/>
      <c r="O49" s="16"/>
      <c r="P49" s="17"/>
    </row>
    <row r="50" spans="1:16">
      <c r="A50" s="18" t="str">
        <f t="shared" si="2"/>
        <v>20260729-046</v>
      </c>
      <c r="B50" s="19">
        <f t="shared" si="3"/>
        <v>46232</v>
      </c>
      <c r="C50" s="20" t="s">
        <v>71</v>
      </c>
      <c r="D50" s="21"/>
      <c r="E50" s="22">
        <v>1</v>
      </c>
      <c r="F50" s="23"/>
      <c r="G50" s="24"/>
      <c r="H50" s="25"/>
      <c r="I50" s="26"/>
      <c r="J50" s="27"/>
      <c r="K50" s="28">
        <v>1</v>
      </c>
      <c r="L50" s="15"/>
      <c r="M50" s="16"/>
      <c r="N50" s="15"/>
      <c r="O50" s="16"/>
      <c r="P50" s="30"/>
    </row>
    <row r="51" spans="1:16">
      <c r="A51" s="18" t="str">
        <f t="shared" si="2"/>
        <v>20260729-047</v>
      </c>
      <c r="B51" s="19">
        <f t="shared" si="3"/>
        <v>46232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20260729-048</v>
      </c>
      <c r="B52" s="19">
        <f t="shared" si="3"/>
        <v>46232</v>
      </c>
      <c r="C52" s="20" t="s">
        <v>73</v>
      </c>
      <c r="D52" s="21"/>
      <c r="E52" s="22"/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20260729-049</v>
      </c>
      <c r="B53" s="19">
        <f t="shared" si="3"/>
        <v>46232</v>
      </c>
      <c r="C53" s="20" t="s">
        <v>74</v>
      </c>
      <c r="D53" s="31"/>
      <c r="E53" s="22"/>
      <c r="F53" s="23"/>
      <c r="G53" s="24"/>
      <c r="H53" s="25"/>
      <c r="I53" s="26">
        <v>4</v>
      </c>
      <c r="J53" s="27">
        <v>1</v>
      </c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20260729-050</v>
      </c>
      <c r="B54" s="19">
        <f t="shared" si="3"/>
        <v>46232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20260729-051</v>
      </c>
      <c r="B55" s="19">
        <f t="shared" si="3"/>
        <v>46232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20260729-052</v>
      </c>
      <c r="B56" s="19">
        <f t="shared" si="3"/>
        <v>46232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20260729-053</v>
      </c>
      <c r="B57" s="19">
        <f t="shared" si="3"/>
        <v>46232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20260729-054</v>
      </c>
      <c r="B58" s="19">
        <f t="shared" si="3"/>
        <v>46232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20260729-055</v>
      </c>
      <c r="B59" s="19">
        <f t="shared" si="3"/>
        <v>46232</v>
      </c>
      <c r="C59" s="20" t="s">
        <v>80</v>
      </c>
      <c r="D59" s="31"/>
      <c r="E59" s="22"/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20260729-056</v>
      </c>
      <c r="B60" s="19">
        <f t="shared" si="3"/>
        <v>46232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20260729-057</v>
      </c>
      <c r="B61" s="19">
        <f t="shared" si="3"/>
        <v>46232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20260729-058</v>
      </c>
      <c r="B62" s="19">
        <f t="shared" si="3"/>
        <v>46232</v>
      </c>
      <c r="C62" s="20" t="s">
        <v>83</v>
      </c>
      <c r="D62" s="31"/>
      <c r="E62" s="22"/>
      <c r="F62" s="23"/>
      <c r="G62" s="24"/>
      <c r="H62" s="25">
        <v>10</v>
      </c>
      <c r="I62" s="26">
        <v>5</v>
      </c>
      <c r="J62" s="27">
        <v>6</v>
      </c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20260729-059</v>
      </c>
      <c r="B63" s="19">
        <f t="shared" si="3"/>
        <v>46232</v>
      </c>
      <c r="C63" s="20" t="s">
        <v>84</v>
      </c>
      <c r="D63" s="21">
        <v>20</v>
      </c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20260729-060</v>
      </c>
      <c r="B64" s="19">
        <f t="shared" si="3"/>
        <v>46232</v>
      </c>
      <c r="C64" s="20" t="s">
        <v>85</v>
      </c>
      <c r="D64" s="31"/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20260729-061</v>
      </c>
      <c r="B65" s="19">
        <f t="shared" si="3"/>
        <v>46232</v>
      </c>
      <c r="C65" s="20" t="s">
        <v>86</v>
      </c>
      <c r="D65" s="21">
        <v>20</v>
      </c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20260729-062</v>
      </c>
      <c r="B66" s="19">
        <f t="shared" si="3"/>
        <v>46232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20260729-063</v>
      </c>
      <c r="B67" s="19">
        <f t="shared" si="3"/>
        <v>46232</v>
      </c>
      <c r="C67" s="20" t="s">
        <v>88</v>
      </c>
      <c r="D67" s="21"/>
      <c r="E67" s="22"/>
      <c r="F67" s="23"/>
      <c r="G67" s="24"/>
      <c r="H67" s="25">
        <v>11</v>
      </c>
      <c r="I67" s="26">
        <v>10</v>
      </c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20260729-064</v>
      </c>
      <c r="B68" s="19">
        <f t="shared" si="3"/>
        <v>46232</v>
      </c>
      <c r="C68" s="20" t="s">
        <v>89</v>
      </c>
      <c r="D68" s="31"/>
      <c r="E68" s="22">
        <v>3</v>
      </c>
      <c r="F68" s="23"/>
      <c r="G68" s="24"/>
      <c r="H68" s="25"/>
      <c r="I68" s="26"/>
      <c r="J68" s="27"/>
      <c r="K68" s="28">
        <v>3</v>
      </c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20260729-065</v>
      </c>
      <c r="B69" s="19">
        <f t="shared" si="3"/>
        <v>46232</v>
      </c>
      <c r="C69" s="20" t="s">
        <v>90</v>
      </c>
      <c r="D69" s="21"/>
      <c r="E69" s="22"/>
      <c r="F69" s="23"/>
      <c r="G69" s="24"/>
      <c r="H69" s="25"/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20260729-066</v>
      </c>
      <c r="B70" s="19">
        <f t="shared" ref="B70:B80" si="5">$B$5</f>
        <v>46232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20260729-067</v>
      </c>
      <c r="B71" s="19">
        <f t="shared" si="5"/>
        <v>46232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20260729-068</v>
      </c>
      <c r="B72" s="19">
        <f t="shared" si="5"/>
        <v>46232</v>
      </c>
      <c r="C72" s="20" t="s">
        <v>93</v>
      </c>
      <c r="D72" s="31"/>
      <c r="E72" s="22">
        <v>1</v>
      </c>
      <c r="F72" s="23"/>
      <c r="G72" s="24"/>
      <c r="H72" s="25"/>
      <c r="I72" s="26"/>
      <c r="J72" s="27"/>
      <c r="K72" s="28">
        <v>2</v>
      </c>
      <c r="L72" s="15"/>
      <c r="M72" s="16"/>
      <c r="N72" s="15"/>
      <c r="O72" s="16"/>
      <c r="P72" s="17"/>
    </row>
    <row r="73" spans="1:16">
      <c r="A73" s="18" t="str">
        <f t="shared" si="4"/>
        <v>20260729-069</v>
      </c>
      <c r="B73" s="19">
        <f t="shared" si="5"/>
        <v>46232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20260729-070</v>
      </c>
      <c r="B74" s="19">
        <f t="shared" si="5"/>
        <v>46232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1</v>
      </c>
      <c r="M74" s="16"/>
      <c r="N74" s="15"/>
      <c r="O74" s="16"/>
    </row>
    <row r="75" spans="1:16">
      <c r="A75" s="18" t="str">
        <f t="shared" si="4"/>
        <v>20260729-071</v>
      </c>
      <c r="B75" s="19">
        <f t="shared" si="5"/>
        <v>46232</v>
      </c>
      <c r="C75" s="20" t="s">
        <v>96</v>
      </c>
      <c r="D75" s="21"/>
      <c r="E75" s="22"/>
      <c r="F75" s="23"/>
      <c r="G75" s="24">
        <v>2</v>
      </c>
      <c r="H75" s="25"/>
      <c r="I75" s="26"/>
      <c r="J75" s="27"/>
      <c r="K75" s="28">
        <v>2</v>
      </c>
      <c r="L75" s="15"/>
      <c r="M75" s="16"/>
      <c r="N75" s="15"/>
      <c r="O75" s="16"/>
      <c r="P75" s="30"/>
    </row>
    <row r="76" spans="1:16">
      <c r="A76" s="18" t="str">
        <f t="shared" si="4"/>
        <v>20260729-072</v>
      </c>
      <c r="B76" s="19">
        <f t="shared" si="5"/>
        <v>46232</v>
      </c>
      <c r="C76" s="20" t="s">
        <v>97</v>
      </c>
      <c r="D76" s="31"/>
      <c r="E76" s="22"/>
      <c r="F76" s="23"/>
      <c r="G76" s="24">
        <v>1</v>
      </c>
      <c r="H76" s="25"/>
      <c r="I76" s="26"/>
      <c r="J76" s="27"/>
      <c r="K76" s="28"/>
      <c r="L76" s="15"/>
      <c r="M76" s="16"/>
      <c r="N76" s="15"/>
      <c r="O76" s="16"/>
    </row>
    <row r="77" spans="1:16">
      <c r="A77" s="18" t="str">
        <f t="shared" si="4"/>
        <v>20260729-073</v>
      </c>
      <c r="B77" s="19">
        <f t="shared" si="5"/>
        <v>46232</v>
      </c>
      <c r="C77" s="20" t="s">
        <v>98</v>
      </c>
      <c r="D77" s="21"/>
      <c r="E77" s="22"/>
      <c r="F77" s="23"/>
      <c r="G77" s="24">
        <v>1</v>
      </c>
      <c r="H77" s="25"/>
      <c r="I77" s="26"/>
      <c r="J77" s="27"/>
      <c r="K77" s="28"/>
      <c r="L77" s="34">
        <v>1</v>
      </c>
      <c r="M77" s="16"/>
      <c r="N77" s="15"/>
      <c r="O77" s="16"/>
      <c r="P77" s="30"/>
    </row>
    <row r="78" spans="1:16">
      <c r="A78" s="18" t="str">
        <f t="shared" si="4"/>
        <v>20260729-074</v>
      </c>
      <c r="B78" s="19">
        <f t="shared" si="5"/>
        <v>46232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20260729-075</v>
      </c>
      <c r="B79" s="19">
        <f t="shared" si="5"/>
        <v>46232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20260729-076</v>
      </c>
      <c r="B80" s="19">
        <f t="shared" si="5"/>
        <v>46232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80"/>
  <sheetViews>
    <sheetView zoomScale="85" zoomScaleNormal="85" workbookViewId="0">
      <selection activeCell="H73" sqref="H73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20260730-001</v>
      </c>
      <c r="B5" s="5">
        <v>46233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20260730-002</v>
      </c>
      <c r="B6" s="19">
        <f t="shared" ref="B6:B37" si="1">$B$5</f>
        <v>46233</v>
      </c>
      <c r="C6" s="20" t="s">
        <v>28</v>
      </c>
      <c r="D6" s="21">
        <v>15</v>
      </c>
      <c r="E6" s="22">
        <v>6</v>
      </c>
      <c r="F6" s="23"/>
      <c r="G6" s="24">
        <v>5</v>
      </c>
      <c r="H6" s="25"/>
      <c r="I6" s="26"/>
      <c r="J6" s="27"/>
      <c r="K6" s="28"/>
      <c r="L6" s="15"/>
      <c r="M6" s="29"/>
      <c r="N6" s="15"/>
      <c r="O6" s="29"/>
      <c r="P6" s="30"/>
    </row>
    <row r="7" spans="1:16">
      <c r="A7" s="18" t="str">
        <f t="shared" si="0"/>
        <v>20260730-003</v>
      </c>
      <c r="B7" s="19">
        <f t="shared" si="1"/>
        <v>46233</v>
      </c>
      <c r="C7" s="20" t="s">
        <v>29</v>
      </c>
      <c r="D7" s="31"/>
      <c r="E7" s="22"/>
      <c r="F7" s="23"/>
      <c r="G7" s="24"/>
      <c r="H7" s="25"/>
      <c r="I7" s="26"/>
      <c r="J7" s="27"/>
      <c r="K7" s="28"/>
      <c r="L7" s="15"/>
      <c r="M7" s="29"/>
      <c r="N7" s="15"/>
      <c r="O7" s="29"/>
      <c r="P7" s="32"/>
    </row>
    <row r="8" spans="1:16">
      <c r="A8" s="18" t="str">
        <f t="shared" si="0"/>
        <v>20260730-004</v>
      </c>
      <c r="B8" s="19">
        <f t="shared" si="1"/>
        <v>46233</v>
      </c>
      <c r="C8" s="20" t="s">
        <v>30</v>
      </c>
      <c r="D8" s="21"/>
      <c r="E8" s="22">
        <v>4</v>
      </c>
      <c r="F8" s="23"/>
      <c r="G8" s="24"/>
      <c r="H8" s="25"/>
      <c r="I8" s="26"/>
      <c r="J8" s="27"/>
      <c r="K8" s="28">
        <v>4</v>
      </c>
      <c r="L8" s="15"/>
      <c r="M8" s="16"/>
      <c r="N8" s="15"/>
      <c r="O8" s="16"/>
      <c r="P8" s="30"/>
    </row>
    <row r="9" spans="1:16">
      <c r="A9" s="18" t="str">
        <f t="shared" si="0"/>
        <v>20260730-005</v>
      </c>
      <c r="B9" s="19">
        <f t="shared" si="1"/>
        <v>46233</v>
      </c>
      <c r="C9" s="20" t="s">
        <v>31</v>
      </c>
      <c r="D9" s="31"/>
      <c r="E9" s="22"/>
      <c r="F9" s="23"/>
      <c r="G9" s="24">
        <v>1</v>
      </c>
      <c r="H9" s="25"/>
      <c r="I9" s="26"/>
      <c r="J9" s="27"/>
      <c r="K9" s="28"/>
      <c r="L9" s="15"/>
      <c r="M9" s="29"/>
      <c r="N9" s="15"/>
      <c r="O9" s="29"/>
      <c r="P9" s="17"/>
    </row>
    <row r="10" spans="1:16">
      <c r="A10" s="18" t="str">
        <f t="shared" si="0"/>
        <v>20260730-006</v>
      </c>
      <c r="B10" s="19">
        <f t="shared" si="1"/>
        <v>46233</v>
      </c>
      <c r="C10" s="20" t="s">
        <v>32</v>
      </c>
      <c r="D10" s="21"/>
      <c r="E10" s="22"/>
      <c r="F10" s="23"/>
      <c r="G10" s="24"/>
      <c r="H10" s="25"/>
      <c r="I10" s="26"/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20260730-007</v>
      </c>
      <c r="B11" s="19">
        <f t="shared" si="1"/>
        <v>46233</v>
      </c>
      <c r="C11" s="20" t="s">
        <v>33</v>
      </c>
      <c r="D11" s="31"/>
      <c r="E11" s="22"/>
      <c r="F11" s="23"/>
      <c r="G11" s="24"/>
      <c r="H11" s="25">
        <v>30</v>
      </c>
      <c r="I11" s="26">
        <v>25</v>
      </c>
      <c r="J11" s="27">
        <v>5</v>
      </c>
      <c r="K11" s="28">
        <v>12</v>
      </c>
      <c r="L11" s="15"/>
      <c r="M11" s="16"/>
      <c r="N11" s="15"/>
      <c r="O11" s="16"/>
      <c r="P11" s="17"/>
    </row>
    <row r="12" spans="1:16">
      <c r="A12" s="18" t="str">
        <f t="shared" si="0"/>
        <v>20260730-008</v>
      </c>
      <c r="B12" s="19">
        <f t="shared" si="1"/>
        <v>46233</v>
      </c>
      <c r="C12" s="33" t="s">
        <v>34</v>
      </c>
      <c r="D12" s="21">
        <v>25</v>
      </c>
      <c r="E12" s="22">
        <v>13</v>
      </c>
      <c r="F12" s="23"/>
      <c r="G12" s="24">
        <v>4</v>
      </c>
      <c r="H12" s="25"/>
      <c r="I12" s="26"/>
      <c r="J12" s="27"/>
      <c r="K12" s="28">
        <v>13</v>
      </c>
      <c r="L12" s="15"/>
      <c r="M12" s="16"/>
      <c r="N12" s="15"/>
      <c r="O12" s="16"/>
      <c r="P12" s="30"/>
    </row>
    <row r="13" spans="1:16">
      <c r="A13" s="18" t="str">
        <f t="shared" si="0"/>
        <v>20260730-009</v>
      </c>
      <c r="B13" s="19">
        <f t="shared" si="1"/>
        <v>46233</v>
      </c>
      <c r="C13" s="33" t="s">
        <v>104</v>
      </c>
      <c r="D13" s="31"/>
      <c r="E13" s="22"/>
      <c r="F13" s="23"/>
      <c r="G13" s="24"/>
      <c r="H13" s="25">
        <v>6</v>
      </c>
      <c r="I13" s="26">
        <v>3</v>
      </c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20260730-010</v>
      </c>
      <c r="B14" s="19">
        <f t="shared" si="1"/>
        <v>46233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20260730-011</v>
      </c>
      <c r="B15" s="19">
        <f t="shared" si="1"/>
        <v>46233</v>
      </c>
      <c r="C15" s="33" t="s">
        <v>36</v>
      </c>
      <c r="D15" s="31"/>
      <c r="E15" s="22"/>
      <c r="F15" s="23"/>
      <c r="G15" s="24"/>
      <c r="H15" s="25">
        <v>3</v>
      </c>
      <c r="I15" s="26">
        <v>10</v>
      </c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20260730-012</v>
      </c>
      <c r="B16" s="19">
        <f t="shared" si="1"/>
        <v>46233</v>
      </c>
      <c r="C16" s="20" t="s">
        <v>37</v>
      </c>
      <c r="D16" s="21"/>
      <c r="E16" s="22"/>
      <c r="F16" s="23"/>
      <c r="G16" s="24"/>
      <c r="H16" s="25"/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20260730-013</v>
      </c>
      <c r="B17" s="19">
        <f t="shared" si="1"/>
        <v>46233</v>
      </c>
      <c r="C17" s="20" t="s">
        <v>38</v>
      </c>
      <c r="D17" s="31"/>
      <c r="E17" s="22">
        <v>2</v>
      </c>
      <c r="F17" s="23"/>
      <c r="G17" s="24">
        <v>1</v>
      </c>
      <c r="H17" s="25">
        <v>2</v>
      </c>
      <c r="I17" s="26"/>
      <c r="J17" s="27">
        <v>2</v>
      </c>
      <c r="K17" s="28"/>
      <c r="L17" s="15"/>
      <c r="M17" s="16"/>
      <c r="N17" s="15"/>
      <c r="O17" s="16"/>
      <c r="P17" s="17"/>
    </row>
    <row r="18" spans="1:16">
      <c r="A18" s="18" t="str">
        <f t="shared" si="0"/>
        <v>20260730-014</v>
      </c>
      <c r="B18" s="19">
        <f t="shared" si="1"/>
        <v>46233</v>
      </c>
      <c r="C18" s="20" t="s">
        <v>39</v>
      </c>
      <c r="D18" s="21"/>
      <c r="E18" s="22"/>
      <c r="F18" s="23"/>
      <c r="G18" s="24"/>
      <c r="H18" s="25"/>
      <c r="I18" s="26"/>
      <c r="J18" s="27"/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20260730-015</v>
      </c>
      <c r="B19" s="19">
        <f t="shared" si="1"/>
        <v>46233</v>
      </c>
      <c r="C19" s="20" t="s">
        <v>40</v>
      </c>
      <c r="D19" s="31"/>
      <c r="E19" s="22">
        <v>1</v>
      </c>
      <c r="F19" s="23"/>
      <c r="G19" s="24"/>
      <c r="H19" s="25">
        <v>1</v>
      </c>
      <c r="I19" s="26">
        <v>4</v>
      </c>
      <c r="J19" s="27"/>
      <c r="K19" s="28">
        <v>6</v>
      </c>
      <c r="L19" s="15"/>
      <c r="M19" s="16"/>
      <c r="N19" s="15"/>
      <c r="O19" s="16"/>
      <c r="P19" s="17"/>
    </row>
    <row r="20" spans="1:16">
      <c r="A20" s="18" t="str">
        <f t="shared" si="0"/>
        <v>20260730-016</v>
      </c>
      <c r="B20" s="19">
        <f t="shared" si="1"/>
        <v>46233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20260730-017</v>
      </c>
      <c r="B21" s="19">
        <f t="shared" si="1"/>
        <v>46233</v>
      </c>
      <c r="C21" s="20" t="s">
        <v>42</v>
      </c>
      <c r="D21" s="31"/>
      <c r="E21" s="22">
        <v>1</v>
      </c>
      <c r="F21" s="23"/>
      <c r="G21" s="24">
        <v>1</v>
      </c>
      <c r="H21" s="25"/>
      <c r="I21" s="26"/>
      <c r="J21" s="27"/>
      <c r="K21" s="28">
        <v>2</v>
      </c>
      <c r="L21" s="15"/>
      <c r="M21" s="16"/>
      <c r="N21" s="15"/>
      <c r="O21" s="16"/>
      <c r="P21" s="17"/>
    </row>
    <row r="22" spans="1:16">
      <c r="A22" s="18" t="str">
        <f t="shared" si="0"/>
        <v>20260730-018</v>
      </c>
      <c r="B22" s="19">
        <f t="shared" si="1"/>
        <v>46233</v>
      </c>
      <c r="C22" s="20" t="s">
        <v>43</v>
      </c>
      <c r="D22" s="21"/>
      <c r="E22" s="22"/>
      <c r="F22" s="23"/>
      <c r="G22" s="24"/>
      <c r="H22" s="25">
        <v>1</v>
      </c>
      <c r="I22" s="26">
        <v>3</v>
      </c>
      <c r="J22" s="27"/>
      <c r="K22" s="28">
        <v>1</v>
      </c>
      <c r="L22" s="15"/>
      <c r="M22" s="16"/>
      <c r="N22" s="15"/>
      <c r="O22" s="16"/>
      <c r="P22" s="30"/>
    </row>
    <row r="23" spans="1:16">
      <c r="A23" s="18" t="str">
        <f t="shared" si="0"/>
        <v>20260730-019</v>
      </c>
      <c r="B23" s="19">
        <f t="shared" si="1"/>
        <v>46233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20260730-020</v>
      </c>
      <c r="B24" s="19">
        <f t="shared" si="1"/>
        <v>46233</v>
      </c>
      <c r="C24" s="20" t="s">
        <v>45</v>
      </c>
      <c r="D24" s="21"/>
      <c r="E24" s="22"/>
      <c r="F24" s="23"/>
      <c r="G24" s="24"/>
      <c r="H24" s="25">
        <v>4</v>
      </c>
      <c r="I24" s="26">
        <v>5</v>
      </c>
      <c r="J24" s="27"/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20260730-021</v>
      </c>
      <c r="B25" s="19">
        <f t="shared" si="1"/>
        <v>46233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20260730-022</v>
      </c>
      <c r="B26" s="19">
        <f t="shared" si="1"/>
        <v>46233</v>
      </c>
      <c r="C26" s="20" t="s">
        <v>47</v>
      </c>
      <c r="D26" s="21"/>
      <c r="E26" s="22"/>
      <c r="F26" s="23"/>
      <c r="G26" s="24"/>
      <c r="H26" s="25">
        <v>10</v>
      </c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20260730-023</v>
      </c>
      <c r="B27" s="19">
        <f t="shared" si="1"/>
        <v>46233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20260730-024</v>
      </c>
      <c r="B28" s="19">
        <f t="shared" si="1"/>
        <v>46233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20260730-025</v>
      </c>
      <c r="B29" s="19">
        <f t="shared" si="1"/>
        <v>46233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20260730-026</v>
      </c>
      <c r="B30" s="19">
        <f t="shared" si="1"/>
        <v>46233</v>
      </c>
      <c r="C30" s="20" t="s">
        <v>51</v>
      </c>
      <c r="D30" s="21"/>
      <c r="E30" s="22">
        <v>2</v>
      </c>
      <c r="F30" s="23"/>
      <c r="G30" s="24">
        <v>2</v>
      </c>
      <c r="H30" s="25"/>
      <c r="I30" s="26"/>
      <c r="J30" s="27"/>
      <c r="K30" s="28">
        <v>4</v>
      </c>
      <c r="L30" s="15"/>
      <c r="M30" s="16"/>
      <c r="N30" s="15"/>
      <c r="O30" s="16"/>
      <c r="P30" s="30"/>
    </row>
    <row r="31" spans="1:16">
      <c r="A31" s="18" t="str">
        <f t="shared" si="0"/>
        <v>20260730-027</v>
      </c>
      <c r="B31" s="19">
        <f t="shared" si="1"/>
        <v>46233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20260730-028</v>
      </c>
      <c r="B32" s="19">
        <f t="shared" si="1"/>
        <v>46233</v>
      </c>
      <c r="C32" s="20" t="s">
        <v>53</v>
      </c>
      <c r="D32" s="21"/>
      <c r="E32" s="22"/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20260730-029</v>
      </c>
      <c r="B33" s="19">
        <f t="shared" si="1"/>
        <v>46233</v>
      </c>
      <c r="C33" s="20" t="s">
        <v>54</v>
      </c>
      <c r="D33" s="31"/>
      <c r="E33" s="22"/>
      <c r="F33" s="23"/>
      <c r="G33" s="24">
        <v>3</v>
      </c>
      <c r="H33" s="25"/>
      <c r="I33" s="26"/>
      <c r="J33" s="27"/>
      <c r="K33" s="28">
        <v>6</v>
      </c>
      <c r="L33" s="15"/>
      <c r="M33" s="16"/>
      <c r="N33" s="15"/>
      <c r="O33" s="16"/>
      <c r="P33" s="17"/>
    </row>
    <row r="34" spans="1:16">
      <c r="A34" s="18" t="str">
        <f t="shared" si="0"/>
        <v>20260730-030</v>
      </c>
      <c r="B34" s="19">
        <f t="shared" si="1"/>
        <v>46233</v>
      </c>
      <c r="C34" s="20" t="s">
        <v>55</v>
      </c>
      <c r="D34" s="21"/>
      <c r="E34" s="22"/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20260730-031</v>
      </c>
      <c r="B35" s="19">
        <f t="shared" si="1"/>
        <v>46233</v>
      </c>
      <c r="C35" s="20" t="s">
        <v>56</v>
      </c>
      <c r="D35" s="31"/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20260730-032</v>
      </c>
      <c r="B36" s="19">
        <f t="shared" si="1"/>
        <v>46233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20260730-033</v>
      </c>
      <c r="B37" s="19">
        <f t="shared" si="1"/>
        <v>46233</v>
      </c>
      <c r="C37" s="20" t="s">
        <v>58</v>
      </c>
      <c r="D37" s="31"/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20260730-034</v>
      </c>
      <c r="B38" s="19">
        <f t="shared" ref="B38:B69" si="3">$B$5</f>
        <v>46233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20260730-035</v>
      </c>
      <c r="B39" s="19">
        <f t="shared" si="3"/>
        <v>46233</v>
      </c>
      <c r="C39" s="20" t="s">
        <v>60</v>
      </c>
      <c r="D39" s="31"/>
      <c r="E39" s="22"/>
      <c r="F39" s="23"/>
      <c r="G39" s="24"/>
      <c r="H39" s="25"/>
      <c r="I39" s="26"/>
      <c r="J39" s="27"/>
      <c r="K39" s="28"/>
      <c r="L39" s="15"/>
      <c r="M39" s="16"/>
      <c r="N39" s="15"/>
      <c r="O39" s="16"/>
      <c r="P39" s="17"/>
    </row>
    <row r="40" spans="1:16">
      <c r="A40" s="18" t="str">
        <f t="shared" si="2"/>
        <v>20260730-036</v>
      </c>
      <c r="B40" s="19">
        <f t="shared" si="3"/>
        <v>46233</v>
      </c>
      <c r="C40" s="20" t="s">
        <v>61</v>
      </c>
      <c r="D40" s="21"/>
      <c r="E40" s="22"/>
      <c r="F40" s="23">
        <v>3</v>
      </c>
      <c r="G40" s="24"/>
      <c r="H40" s="25"/>
      <c r="I40" s="26"/>
      <c r="J40" s="27"/>
      <c r="K40" s="28">
        <v>2</v>
      </c>
      <c r="L40" s="15"/>
      <c r="M40" s="16"/>
      <c r="N40" s="15"/>
      <c r="O40" s="16"/>
      <c r="P40" s="30"/>
    </row>
    <row r="41" spans="1:16">
      <c r="A41" s="18" t="str">
        <f t="shared" si="2"/>
        <v>20260730-037</v>
      </c>
      <c r="B41" s="19">
        <f t="shared" si="3"/>
        <v>46233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20260730-038</v>
      </c>
      <c r="B42" s="19">
        <f t="shared" si="3"/>
        <v>46233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20260730-039</v>
      </c>
      <c r="B43" s="19">
        <f t="shared" si="3"/>
        <v>46233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20260730-040</v>
      </c>
      <c r="B44" s="19">
        <f t="shared" si="3"/>
        <v>46233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20260730-041</v>
      </c>
      <c r="B45" s="19">
        <f t="shared" si="3"/>
        <v>46233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20260730-042</v>
      </c>
      <c r="B46" s="19">
        <f t="shared" si="3"/>
        <v>46233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20260730-043</v>
      </c>
      <c r="B47" s="19">
        <f t="shared" si="3"/>
        <v>46233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20260730-044</v>
      </c>
      <c r="B48" s="19">
        <f t="shared" si="3"/>
        <v>46233</v>
      </c>
      <c r="C48" s="20" t="s">
        <v>69</v>
      </c>
      <c r="D48" s="21"/>
      <c r="E48" s="22"/>
      <c r="F48" s="23"/>
      <c r="G48" s="24"/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20260730-045</v>
      </c>
      <c r="B49" s="19">
        <f t="shared" si="3"/>
        <v>46233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20260730-046</v>
      </c>
      <c r="B50" s="19">
        <f t="shared" si="3"/>
        <v>46233</v>
      </c>
      <c r="C50" s="20" t="s">
        <v>71</v>
      </c>
      <c r="D50" s="21"/>
      <c r="E50" s="22">
        <v>1</v>
      </c>
      <c r="F50" s="23"/>
      <c r="G50" s="24"/>
      <c r="H50" s="25"/>
      <c r="I50" s="26"/>
      <c r="J50" s="27"/>
      <c r="K50" s="28">
        <v>1</v>
      </c>
      <c r="L50" s="15"/>
      <c r="M50" s="16"/>
      <c r="N50" s="15"/>
      <c r="O50" s="16"/>
      <c r="P50" s="30"/>
    </row>
    <row r="51" spans="1:16">
      <c r="A51" s="18" t="str">
        <f t="shared" si="2"/>
        <v>20260730-047</v>
      </c>
      <c r="B51" s="19">
        <f t="shared" si="3"/>
        <v>46233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20260730-048</v>
      </c>
      <c r="B52" s="19">
        <f t="shared" si="3"/>
        <v>46233</v>
      </c>
      <c r="C52" s="20" t="s">
        <v>73</v>
      </c>
      <c r="D52" s="21"/>
      <c r="E52" s="22"/>
      <c r="F52" s="23"/>
      <c r="G52" s="24"/>
      <c r="H52" s="25"/>
      <c r="I52" s="26"/>
      <c r="J52" s="27"/>
      <c r="K52" s="28"/>
      <c r="L52" s="15"/>
      <c r="M52" s="16"/>
      <c r="N52" s="15"/>
      <c r="O52" s="16"/>
      <c r="P52" s="30"/>
    </row>
    <row r="53" spans="1:16">
      <c r="A53" s="18" t="str">
        <f t="shared" si="2"/>
        <v>20260730-049</v>
      </c>
      <c r="B53" s="19">
        <f t="shared" si="3"/>
        <v>46233</v>
      </c>
      <c r="C53" s="20" t="s">
        <v>74</v>
      </c>
      <c r="D53" s="31"/>
      <c r="E53" s="22"/>
      <c r="F53" s="23"/>
      <c r="G53" s="24"/>
      <c r="H53" s="25"/>
      <c r="I53" s="26">
        <v>3</v>
      </c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20260730-050</v>
      </c>
      <c r="B54" s="19">
        <f t="shared" si="3"/>
        <v>46233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20260730-051</v>
      </c>
      <c r="B55" s="19">
        <f t="shared" si="3"/>
        <v>46233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20260730-052</v>
      </c>
      <c r="B56" s="19">
        <f t="shared" si="3"/>
        <v>46233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20260730-053</v>
      </c>
      <c r="B57" s="19">
        <f t="shared" si="3"/>
        <v>46233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20260730-054</v>
      </c>
      <c r="B58" s="19">
        <f t="shared" si="3"/>
        <v>46233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20260730-055</v>
      </c>
      <c r="B59" s="19">
        <f t="shared" si="3"/>
        <v>46233</v>
      </c>
      <c r="C59" s="20" t="s">
        <v>80</v>
      </c>
      <c r="D59" s="31"/>
      <c r="E59" s="22"/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20260730-056</v>
      </c>
      <c r="B60" s="19">
        <f t="shared" si="3"/>
        <v>46233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20260730-057</v>
      </c>
      <c r="B61" s="19">
        <f t="shared" si="3"/>
        <v>46233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20260730-058</v>
      </c>
      <c r="B62" s="19">
        <f t="shared" si="3"/>
        <v>46233</v>
      </c>
      <c r="C62" s="20" t="s">
        <v>83</v>
      </c>
      <c r="D62" s="31"/>
      <c r="E62" s="22"/>
      <c r="F62" s="23"/>
      <c r="G62" s="24"/>
      <c r="H62" s="25"/>
      <c r="I62" s="26">
        <v>5</v>
      </c>
      <c r="J62" s="27">
        <v>5</v>
      </c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20260730-059</v>
      </c>
      <c r="B63" s="19">
        <f t="shared" si="3"/>
        <v>46233</v>
      </c>
      <c r="C63" s="20" t="s">
        <v>84</v>
      </c>
      <c r="D63" s="21"/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20260730-060</v>
      </c>
      <c r="B64" s="19">
        <f t="shared" si="3"/>
        <v>46233</v>
      </c>
      <c r="C64" s="20" t="s">
        <v>85</v>
      </c>
      <c r="D64" s="31"/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20260730-061</v>
      </c>
      <c r="B65" s="19">
        <f t="shared" si="3"/>
        <v>46233</v>
      </c>
      <c r="C65" s="20" t="s">
        <v>86</v>
      </c>
      <c r="D65" s="21"/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20260730-062</v>
      </c>
      <c r="B66" s="19">
        <f t="shared" si="3"/>
        <v>46233</v>
      </c>
      <c r="C66" s="20" t="s">
        <v>87</v>
      </c>
      <c r="D66" s="31"/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20260730-063</v>
      </c>
      <c r="B67" s="19">
        <f t="shared" si="3"/>
        <v>46233</v>
      </c>
      <c r="C67" s="20" t="s">
        <v>88</v>
      </c>
      <c r="D67" s="21"/>
      <c r="E67" s="22"/>
      <c r="F67" s="23"/>
      <c r="G67" s="24"/>
      <c r="H67" s="25"/>
      <c r="I67" s="26"/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20260730-064</v>
      </c>
      <c r="B68" s="19">
        <f t="shared" si="3"/>
        <v>46233</v>
      </c>
      <c r="C68" s="20" t="s">
        <v>89</v>
      </c>
      <c r="D68" s="31"/>
      <c r="E68" s="22"/>
      <c r="F68" s="23"/>
      <c r="G68" s="24"/>
      <c r="H68" s="25"/>
      <c r="I68" s="26"/>
      <c r="J68" s="27"/>
      <c r="K68" s="28"/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20260730-065</v>
      </c>
      <c r="B69" s="19">
        <f t="shared" si="3"/>
        <v>46233</v>
      </c>
      <c r="C69" s="20" t="s">
        <v>90</v>
      </c>
      <c r="D69" s="21"/>
      <c r="E69" s="22"/>
      <c r="F69" s="23"/>
      <c r="G69" s="24"/>
      <c r="H69" s="25"/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20260730-066</v>
      </c>
      <c r="B70" s="19">
        <f t="shared" ref="B70:B80" si="5">$B$5</f>
        <v>46233</v>
      </c>
      <c r="C70" s="20" t="s">
        <v>91</v>
      </c>
      <c r="D70" s="31"/>
      <c r="E70" s="22"/>
      <c r="F70" s="23"/>
      <c r="G70" s="24"/>
      <c r="H70" s="25"/>
      <c r="I70" s="26"/>
      <c r="J70" s="27"/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20260730-067</v>
      </c>
      <c r="B71" s="19">
        <f t="shared" si="5"/>
        <v>46233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20260730-068</v>
      </c>
      <c r="B72" s="19">
        <f t="shared" si="5"/>
        <v>46233</v>
      </c>
      <c r="C72" s="20" t="s">
        <v>93</v>
      </c>
      <c r="D72" s="31"/>
      <c r="E72" s="22">
        <v>2</v>
      </c>
      <c r="F72" s="23"/>
      <c r="G72" s="24"/>
      <c r="H72" s="25"/>
      <c r="I72" s="26"/>
      <c r="J72" s="27"/>
      <c r="K72" s="28"/>
      <c r="L72" s="15"/>
      <c r="M72" s="16"/>
      <c r="N72" s="15"/>
      <c r="O72" s="16"/>
      <c r="P72" s="17"/>
    </row>
    <row r="73" spans="1:16">
      <c r="A73" s="18" t="str">
        <f t="shared" si="4"/>
        <v>20260730-069</v>
      </c>
      <c r="B73" s="19">
        <f t="shared" si="5"/>
        <v>46233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20260730-070</v>
      </c>
      <c r="B74" s="19">
        <f t="shared" si="5"/>
        <v>46233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1</v>
      </c>
      <c r="M74" s="16"/>
      <c r="N74" s="15"/>
      <c r="O74" s="16"/>
    </row>
    <row r="75" spans="1:16">
      <c r="A75" s="18" t="str">
        <f t="shared" si="4"/>
        <v>20260730-071</v>
      </c>
      <c r="B75" s="19">
        <f t="shared" si="5"/>
        <v>46233</v>
      </c>
      <c r="C75" s="20" t="s">
        <v>96</v>
      </c>
      <c r="D75" s="21"/>
      <c r="E75" s="22"/>
      <c r="F75" s="23"/>
      <c r="G75" s="24">
        <v>2</v>
      </c>
      <c r="H75" s="25"/>
      <c r="I75" s="26"/>
      <c r="J75" s="27"/>
      <c r="K75" s="28">
        <v>2</v>
      </c>
      <c r="L75" s="15"/>
      <c r="M75" s="16"/>
      <c r="N75" s="15"/>
      <c r="O75" s="16"/>
      <c r="P75" s="30"/>
    </row>
    <row r="76" spans="1:16">
      <c r="A76" s="18" t="str">
        <f t="shared" si="4"/>
        <v>20260730-072</v>
      </c>
      <c r="B76" s="19">
        <f t="shared" si="5"/>
        <v>46233</v>
      </c>
      <c r="C76" s="20" t="s">
        <v>97</v>
      </c>
      <c r="D76" s="31"/>
      <c r="E76" s="22"/>
      <c r="F76" s="23"/>
      <c r="G76" s="24"/>
      <c r="H76" s="25"/>
      <c r="I76" s="26"/>
      <c r="J76" s="27"/>
      <c r="K76" s="28"/>
      <c r="L76" s="15"/>
      <c r="M76" s="16"/>
      <c r="N76" s="15"/>
      <c r="O76" s="16"/>
    </row>
    <row r="77" spans="1:16">
      <c r="A77" s="18" t="str">
        <f t="shared" si="4"/>
        <v>20260730-073</v>
      </c>
      <c r="B77" s="19">
        <f t="shared" si="5"/>
        <v>46233</v>
      </c>
      <c r="C77" s="20" t="s">
        <v>98</v>
      </c>
      <c r="D77" s="21"/>
      <c r="E77" s="22"/>
      <c r="F77" s="23"/>
      <c r="G77" s="24">
        <v>1</v>
      </c>
      <c r="H77" s="25"/>
      <c r="I77" s="26"/>
      <c r="J77" s="27"/>
      <c r="K77" s="28"/>
      <c r="L77" s="34">
        <v>1</v>
      </c>
      <c r="M77" s="16"/>
      <c r="N77" s="15"/>
      <c r="O77" s="16"/>
      <c r="P77" s="30"/>
    </row>
    <row r="78" spans="1:16">
      <c r="A78" s="18" t="str">
        <f t="shared" si="4"/>
        <v>20260730-074</v>
      </c>
      <c r="B78" s="19">
        <f t="shared" si="5"/>
        <v>46233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20260730-075</v>
      </c>
      <c r="B79" s="19">
        <f t="shared" si="5"/>
        <v>46233</v>
      </c>
      <c r="C79" s="20" t="s">
        <v>100</v>
      </c>
      <c r="D79" s="21"/>
      <c r="E79" s="22">
        <v>1</v>
      </c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20260730-076</v>
      </c>
      <c r="B80" s="19">
        <f t="shared" si="5"/>
        <v>46233</v>
      </c>
      <c r="C80" s="20" t="s">
        <v>101</v>
      </c>
      <c r="D80" s="31"/>
      <c r="E80" s="22">
        <v>15</v>
      </c>
      <c r="F80" s="23"/>
      <c r="G80" s="24">
        <v>3</v>
      </c>
      <c r="H80" s="25"/>
      <c r="I80" s="26"/>
      <c r="J80" s="27"/>
      <c r="K80" s="28">
        <v>15</v>
      </c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80"/>
  <sheetViews>
    <sheetView topLeftCell="B49" zoomScale="82" workbookViewId="0">
      <selection activeCell="L56" sqref="L56"/>
    </sheetView>
  </sheetViews>
  <sheetFormatPr defaultRowHeight="16.899999999999999"/>
  <cols>
    <col min="1" max="1" width="11.25" customWidth="1"/>
    <col min="2" max="2" width="9.8125" customWidth="1"/>
    <col min="3" max="3" width="21.625" customWidth="1"/>
    <col min="4" max="4" width="7.8125" customWidth="1"/>
    <col min="5" max="5" width="9.375" customWidth="1"/>
    <col min="6" max="6" width="7.5" customWidth="1"/>
    <col min="7" max="7" width="9.375" customWidth="1"/>
    <col min="10" max="10" width="7.5" customWidth="1"/>
    <col min="11" max="11" width="8.4375" customWidth="1"/>
    <col min="12" max="12" width="10.3125" customWidth="1"/>
    <col min="13" max="13" width="9.375" customWidth="1"/>
    <col min="14" max="14" width="15" customWidth="1"/>
  </cols>
  <sheetData>
    <row r="1" spans="1:16" ht="19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4" t="str">
        <f t="shared" ref="A5:A36" si="0">IFERROR(IF(B5="","",TEXT(B5,"YYYYMMDD")&amp;"-"&amp;TEXT(ROW()-4,"000")),"")</f>
        <v>20260731-001</v>
      </c>
      <c r="B5" s="5">
        <v>46234</v>
      </c>
      <c r="C5" s="6" t="s">
        <v>27</v>
      </c>
      <c r="D5" s="7"/>
      <c r="E5" s="8"/>
      <c r="F5" s="9"/>
      <c r="G5" s="10"/>
      <c r="H5" s="11"/>
      <c r="I5" s="12"/>
      <c r="J5" s="13"/>
      <c r="K5" s="14"/>
      <c r="L5" s="15"/>
      <c r="M5" s="16"/>
      <c r="N5" s="15"/>
      <c r="O5" s="16"/>
      <c r="P5" s="17"/>
    </row>
    <row r="6" spans="1:16">
      <c r="A6" s="18" t="str">
        <f t="shared" si="0"/>
        <v>20260731-002</v>
      </c>
      <c r="B6" s="19">
        <f t="shared" ref="B6:B37" si="1">$B$5</f>
        <v>46234</v>
      </c>
      <c r="C6" s="20" t="s">
        <v>28</v>
      </c>
      <c r="D6" s="21">
        <v>10</v>
      </c>
      <c r="E6" s="22">
        <v>3</v>
      </c>
      <c r="F6" s="23"/>
      <c r="G6" s="24">
        <v>6</v>
      </c>
      <c r="H6" s="25"/>
      <c r="I6" s="26"/>
      <c r="J6" s="27"/>
      <c r="K6" s="28">
        <v>10</v>
      </c>
      <c r="L6" s="15"/>
      <c r="M6" s="29"/>
      <c r="N6" s="15"/>
      <c r="O6" s="29"/>
      <c r="P6" s="30"/>
    </row>
    <row r="7" spans="1:16">
      <c r="A7" s="18" t="str">
        <f t="shared" si="0"/>
        <v>20260731-003</v>
      </c>
      <c r="B7" s="19">
        <f t="shared" si="1"/>
        <v>46234</v>
      </c>
      <c r="C7" s="20" t="s">
        <v>29</v>
      </c>
      <c r="D7" s="31"/>
      <c r="E7" s="22">
        <v>1</v>
      </c>
      <c r="F7" s="23"/>
      <c r="G7" s="24">
        <v>1</v>
      </c>
      <c r="H7" s="25"/>
      <c r="I7" s="26"/>
      <c r="J7" s="27"/>
      <c r="K7" s="28">
        <v>1</v>
      </c>
      <c r="L7" s="15"/>
      <c r="M7" s="29"/>
      <c r="N7" s="15"/>
      <c r="O7" s="29"/>
      <c r="P7" s="32"/>
    </row>
    <row r="8" spans="1:16">
      <c r="A8" s="18" t="str">
        <f t="shared" si="0"/>
        <v>20260731-004</v>
      </c>
      <c r="B8" s="19">
        <f t="shared" si="1"/>
        <v>46234</v>
      </c>
      <c r="C8" s="20" t="s">
        <v>30</v>
      </c>
      <c r="D8" s="21"/>
      <c r="E8" s="22"/>
      <c r="F8" s="23"/>
      <c r="G8" s="24"/>
      <c r="H8" s="25"/>
      <c r="I8" s="26"/>
      <c r="J8" s="27"/>
      <c r="K8" s="28"/>
      <c r="L8" s="15"/>
      <c r="M8" s="16"/>
      <c r="N8" s="15"/>
      <c r="O8" s="16"/>
      <c r="P8" s="30"/>
    </row>
    <row r="9" spans="1:16">
      <c r="A9" s="18" t="str">
        <f t="shared" si="0"/>
        <v>20260731-005</v>
      </c>
      <c r="B9" s="19">
        <f t="shared" si="1"/>
        <v>46234</v>
      </c>
      <c r="C9" s="20" t="s">
        <v>31</v>
      </c>
      <c r="D9" s="31"/>
      <c r="E9" s="22"/>
      <c r="F9" s="23"/>
      <c r="G9" s="24">
        <v>1</v>
      </c>
      <c r="H9" s="25"/>
      <c r="I9" s="26"/>
      <c r="J9" s="27"/>
      <c r="K9" s="28">
        <v>1</v>
      </c>
      <c r="L9" s="15"/>
      <c r="M9" s="29"/>
      <c r="N9" s="15"/>
      <c r="O9" s="29"/>
      <c r="P9" s="17"/>
    </row>
    <row r="10" spans="1:16">
      <c r="A10" s="18" t="str">
        <f t="shared" si="0"/>
        <v>20260731-006</v>
      </c>
      <c r="B10" s="19">
        <f t="shared" si="1"/>
        <v>46234</v>
      </c>
      <c r="C10" s="20" t="s">
        <v>32</v>
      </c>
      <c r="D10" s="21"/>
      <c r="E10" s="22"/>
      <c r="F10" s="23"/>
      <c r="G10" s="24"/>
      <c r="H10" s="25"/>
      <c r="I10" s="26"/>
      <c r="J10" s="27"/>
      <c r="K10" s="28"/>
      <c r="L10" s="15"/>
      <c r="M10" s="16"/>
      <c r="N10" s="15"/>
      <c r="O10" s="16"/>
      <c r="P10" s="30"/>
    </row>
    <row r="11" spans="1:16">
      <c r="A11" s="18" t="str">
        <f t="shared" si="0"/>
        <v>20260731-007</v>
      </c>
      <c r="B11" s="19">
        <f t="shared" si="1"/>
        <v>46234</v>
      </c>
      <c r="C11" s="20" t="s">
        <v>33</v>
      </c>
      <c r="D11" s="31"/>
      <c r="E11" s="22">
        <v>4</v>
      </c>
      <c r="F11" s="23"/>
      <c r="G11" s="24"/>
      <c r="H11" s="25">
        <v>35</v>
      </c>
      <c r="I11" s="26">
        <v>20</v>
      </c>
      <c r="J11" s="27">
        <v>5</v>
      </c>
      <c r="K11" s="28"/>
      <c r="L11" s="15"/>
      <c r="M11" s="16"/>
      <c r="N11" s="15"/>
      <c r="O11" s="16"/>
      <c r="P11" s="17"/>
    </row>
    <row r="12" spans="1:16">
      <c r="A12" s="18" t="str">
        <f t="shared" si="0"/>
        <v>20260731-008</v>
      </c>
      <c r="B12" s="19">
        <f t="shared" si="1"/>
        <v>46234</v>
      </c>
      <c r="C12" s="33" t="s">
        <v>34</v>
      </c>
      <c r="D12" s="21"/>
      <c r="E12" s="22">
        <v>8</v>
      </c>
      <c r="F12" s="23"/>
      <c r="G12" s="24">
        <v>4</v>
      </c>
      <c r="H12" s="25"/>
      <c r="I12" s="26"/>
      <c r="J12" s="27"/>
      <c r="K12" s="28"/>
      <c r="L12" s="15"/>
      <c r="M12" s="16"/>
      <c r="N12" s="15"/>
      <c r="O12" s="16"/>
      <c r="P12" s="30"/>
    </row>
    <row r="13" spans="1:16">
      <c r="A13" s="18" t="str">
        <f t="shared" si="0"/>
        <v>20260731-009</v>
      </c>
      <c r="B13" s="19">
        <f t="shared" si="1"/>
        <v>46234</v>
      </c>
      <c r="C13" s="20" t="s">
        <v>104</v>
      </c>
      <c r="D13" s="31"/>
      <c r="E13" s="22"/>
      <c r="F13" s="23"/>
      <c r="G13" s="24"/>
      <c r="H13" s="25"/>
      <c r="I13" s="26"/>
      <c r="J13" s="27"/>
      <c r="K13" s="28"/>
      <c r="L13" s="15"/>
      <c r="M13" s="16"/>
      <c r="N13" s="15"/>
      <c r="O13" s="16"/>
      <c r="P13" s="17"/>
    </row>
    <row r="14" spans="1:16">
      <c r="A14" s="18" t="str">
        <f t="shared" si="0"/>
        <v>20260731-010</v>
      </c>
      <c r="B14" s="19">
        <f t="shared" si="1"/>
        <v>46234</v>
      </c>
      <c r="C14" s="20" t="s">
        <v>35</v>
      </c>
      <c r="D14" s="21"/>
      <c r="E14" s="22"/>
      <c r="F14" s="23"/>
      <c r="G14" s="24"/>
      <c r="H14" s="25"/>
      <c r="I14" s="26"/>
      <c r="J14" s="27"/>
      <c r="K14" s="28"/>
      <c r="L14" s="15"/>
      <c r="M14" s="16"/>
      <c r="N14" s="15"/>
      <c r="O14" s="16"/>
      <c r="P14" s="30"/>
    </row>
    <row r="15" spans="1:16">
      <c r="A15" s="18" t="str">
        <f t="shared" si="0"/>
        <v>20260731-011</v>
      </c>
      <c r="B15" s="19">
        <f t="shared" si="1"/>
        <v>46234</v>
      </c>
      <c r="C15" s="33" t="s">
        <v>36</v>
      </c>
      <c r="D15" s="31"/>
      <c r="E15" s="22"/>
      <c r="F15" s="23"/>
      <c r="G15" s="24"/>
      <c r="H15" s="25">
        <v>7</v>
      </c>
      <c r="I15" s="26">
        <v>8</v>
      </c>
      <c r="J15" s="27"/>
      <c r="K15" s="28"/>
      <c r="L15" s="15"/>
      <c r="M15" s="16"/>
      <c r="N15" s="15"/>
      <c r="O15" s="16"/>
      <c r="P15" s="17"/>
    </row>
    <row r="16" spans="1:16">
      <c r="A16" s="18" t="str">
        <f t="shared" si="0"/>
        <v>20260731-012</v>
      </c>
      <c r="B16" s="19">
        <f t="shared" si="1"/>
        <v>46234</v>
      </c>
      <c r="C16" s="20" t="s">
        <v>37</v>
      </c>
      <c r="D16" s="21"/>
      <c r="E16" s="22"/>
      <c r="F16" s="23"/>
      <c r="G16" s="24"/>
      <c r="H16" s="25"/>
      <c r="I16" s="26"/>
      <c r="J16" s="27"/>
      <c r="K16" s="28"/>
      <c r="L16" s="15"/>
      <c r="M16" s="16"/>
      <c r="N16" s="15"/>
      <c r="O16" s="16"/>
      <c r="P16" s="30"/>
    </row>
    <row r="17" spans="1:16">
      <c r="A17" s="18" t="str">
        <f t="shared" si="0"/>
        <v>20260731-013</v>
      </c>
      <c r="B17" s="19">
        <f t="shared" si="1"/>
        <v>46234</v>
      </c>
      <c r="C17" s="20" t="s">
        <v>38</v>
      </c>
      <c r="D17" s="31"/>
      <c r="E17" s="22"/>
      <c r="F17" s="23"/>
      <c r="G17" s="24">
        <v>1</v>
      </c>
      <c r="H17" s="25">
        <v>1</v>
      </c>
      <c r="I17" s="26"/>
      <c r="J17" s="27">
        <v>2</v>
      </c>
      <c r="K17" s="28">
        <v>1</v>
      </c>
      <c r="L17" s="15"/>
      <c r="M17" s="16"/>
      <c r="N17" s="15"/>
      <c r="O17" s="16"/>
      <c r="P17" s="17"/>
    </row>
    <row r="18" spans="1:16">
      <c r="A18" s="18" t="str">
        <f t="shared" si="0"/>
        <v>20260731-014</v>
      </c>
      <c r="B18" s="19">
        <f t="shared" si="1"/>
        <v>46234</v>
      </c>
      <c r="C18" s="20" t="s">
        <v>39</v>
      </c>
      <c r="D18" s="21"/>
      <c r="E18" s="22"/>
      <c r="F18" s="23"/>
      <c r="G18" s="24"/>
      <c r="H18" s="25"/>
      <c r="I18" s="26">
        <v>1</v>
      </c>
      <c r="J18" s="27">
        <v>1</v>
      </c>
      <c r="K18" s="28"/>
      <c r="L18" s="15"/>
      <c r="M18" s="16"/>
      <c r="N18" s="15"/>
      <c r="O18" s="16"/>
      <c r="P18" s="30"/>
    </row>
    <row r="19" spans="1:16">
      <c r="A19" s="18" t="str">
        <f t="shared" si="0"/>
        <v>20260731-015</v>
      </c>
      <c r="B19" s="19">
        <f t="shared" si="1"/>
        <v>46234</v>
      </c>
      <c r="C19" s="20" t="s">
        <v>40</v>
      </c>
      <c r="D19" s="31"/>
      <c r="E19" s="22">
        <v>1</v>
      </c>
      <c r="F19" s="23"/>
      <c r="G19" s="24"/>
      <c r="H19" s="25"/>
      <c r="I19" s="26">
        <v>2</v>
      </c>
      <c r="J19" s="27"/>
      <c r="K19" s="28">
        <v>1</v>
      </c>
      <c r="L19" s="15"/>
      <c r="M19" s="16"/>
      <c r="N19" s="15"/>
      <c r="O19" s="16"/>
      <c r="P19" s="17"/>
    </row>
    <row r="20" spans="1:16">
      <c r="A20" s="18" t="str">
        <f t="shared" si="0"/>
        <v>20260731-016</v>
      </c>
      <c r="B20" s="19">
        <f t="shared" si="1"/>
        <v>46234</v>
      </c>
      <c r="C20" s="20" t="s">
        <v>41</v>
      </c>
      <c r="D20" s="21"/>
      <c r="E20" s="22"/>
      <c r="F20" s="23"/>
      <c r="G20" s="24"/>
      <c r="H20" s="25"/>
      <c r="I20" s="26"/>
      <c r="J20" s="27"/>
      <c r="K20" s="28"/>
      <c r="L20" s="15"/>
      <c r="M20" s="16"/>
      <c r="N20" s="15"/>
      <c r="O20" s="16"/>
      <c r="P20" s="30"/>
    </row>
    <row r="21" spans="1:16">
      <c r="A21" s="18" t="str">
        <f t="shared" si="0"/>
        <v>20260731-017</v>
      </c>
      <c r="B21" s="19">
        <f t="shared" si="1"/>
        <v>46234</v>
      </c>
      <c r="C21" s="20" t="s">
        <v>42</v>
      </c>
      <c r="D21" s="31"/>
      <c r="E21" s="22"/>
      <c r="F21" s="23"/>
      <c r="G21" s="24">
        <v>1</v>
      </c>
      <c r="H21" s="25"/>
      <c r="I21" s="26"/>
      <c r="J21" s="27"/>
      <c r="K21" s="28"/>
      <c r="L21" s="15"/>
      <c r="M21" s="16"/>
      <c r="N21" s="15"/>
      <c r="O21" s="16"/>
      <c r="P21" s="17"/>
    </row>
    <row r="22" spans="1:16">
      <c r="A22" s="18" t="str">
        <f t="shared" si="0"/>
        <v>20260731-018</v>
      </c>
      <c r="B22" s="19">
        <f t="shared" si="1"/>
        <v>46234</v>
      </c>
      <c r="C22" s="20" t="s">
        <v>43</v>
      </c>
      <c r="D22" s="21"/>
      <c r="E22" s="22">
        <v>1</v>
      </c>
      <c r="F22" s="23"/>
      <c r="G22" s="24">
        <v>1</v>
      </c>
      <c r="H22" s="25">
        <v>1</v>
      </c>
      <c r="I22" s="26">
        <v>6</v>
      </c>
      <c r="J22" s="27"/>
      <c r="K22" s="28">
        <v>2</v>
      </c>
      <c r="L22" s="15"/>
      <c r="M22" s="16"/>
      <c r="N22" s="15"/>
      <c r="O22" s="16"/>
      <c r="P22" s="30"/>
    </row>
    <row r="23" spans="1:16">
      <c r="A23" s="18" t="str">
        <f t="shared" si="0"/>
        <v>20260731-019</v>
      </c>
      <c r="B23" s="19">
        <f t="shared" si="1"/>
        <v>46234</v>
      </c>
      <c r="C23" s="20" t="s">
        <v>44</v>
      </c>
      <c r="D23" s="31"/>
      <c r="E23" s="22"/>
      <c r="F23" s="23"/>
      <c r="G23" s="24"/>
      <c r="H23" s="25"/>
      <c r="I23" s="26"/>
      <c r="J23" s="27"/>
      <c r="K23" s="28"/>
      <c r="L23" s="15"/>
      <c r="M23" s="16"/>
      <c r="N23" s="15"/>
      <c r="O23" s="16"/>
      <c r="P23" s="17"/>
    </row>
    <row r="24" spans="1:16">
      <c r="A24" s="18" t="str">
        <f t="shared" si="0"/>
        <v>20260731-020</v>
      </c>
      <c r="B24" s="19">
        <f t="shared" si="1"/>
        <v>46234</v>
      </c>
      <c r="C24" s="20" t="s">
        <v>45</v>
      </c>
      <c r="D24" s="21">
        <v>15</v>
      </c>
      <c r="E24" s="22"/>
      <c r="F24" s="23"/>
      <c r="G24" s="24"/>
      <c r="H24" s="25">
        <v>3</v>
      </c>
      <c r="I24" s="26"/>
      <c r="J24" s="27">
        <v>1</v>
      </c>
      <c r="K24" s="28"/>
      <c r="L24" s="15"/>
      <c r="M24" s="16"/>
      <c r="N24" s="15"/>
      <c r="O24" s="16"/>
      <c r="P24" s="30"/>
    </row>
    <row r="25" spans="1:16">
      <c r="A25" s="18" t="str">
        <f t="shared" si="0"/>
        <v>20260731-021</v>
      </c>
      <c r="B25" s="19">
        <f t="shared" si="1"/>
        <v>46234</v>
      </c>
      <c r="C25" s="20" t="s">
        <v>46</v>
      </c>
      <c r="D25" s="31"/>
      <c r="E25" s="22"/>
      <c r="F25" s="23"/>
      <c r="G25" s="24"/>
      <c r="H25" s="25"/>
      <c r="I25" s="26"/>
      <c r="J25" s="27"/>
      <c r="K25" s="28"/>
      <c r="L25" s="15"/>
      <c r="M25" s="16"/>
      <c r="N25" s="15"/>
      <c r="O25" s="16"/>
      <c r="P25" s="17"/>
    </row>
    <row r="26" spans="1:16">
      <c r="A26" s="18" t="str">
        <f t="shared" si="0"/>
        <v>20260731-022</v>
      </c>
      <c r="B26" s="19">
        <f t="shared" si="1"/>
        <v>46234</v>
      </c>
      <c r="C26" s="20" t="s">
        <v>47</v>
      </c>
      <c r="D26" s="21"/>
      <c r="E26" s="22"/>
      <c r="F26" s="23"/>
      <c r="G26" s="24"/>
      <c r="H26" s="25"/>
      <c r="I26" s="26"/>
      <c r="J26" s="27"/>
      <c r="K26" s="28"/>
      <c r="L26" s="15"/>
      <c r="M26" s="16"/>
      <c r="N26" s="15"/>
      <c r="O26" s="16"/>
      <c r="P26" s="30"/>
    </row>
    <row r="27" spans="1:16">
      <c r="A27" s="18" t="str">
        <f t="shared" si="0"/>
        <v>20260731-023</v>
      </c>
      <c r="B27" s="19">
        <f t="shared" si="1"/>
        <v>46234</v>
      </c>
      <c r="C27" s="20" t="s">
        <v>48</v>
      </c>
      <c r="D27" s="31"/>
      <c r="E27" s="22"/>
      <c r="F27" s="23"/>
      <c r="G27" s="24"/>
      <c r="H27" s="25"/>
      <c r="I27" s="26"/>
      <c r="J27" s="27"/>
      <c r="K27" s="28"/>
      <c r="L27" s="15"/>
      <c r="M27" s="16"/>
      <c r="N27" s="15"/>
      <c r="O27" s="16"/>
      <c r="P27" s="17"/>
    </row>
    <row r="28" spans="1:16">
      <c r="A28" s="18" t="str">
        <f t="shared" si="0"/>
        <v>20260731-024</v>
      </c>
      <c r="B28" s="19">
        <f t="shared" si="1"/>
        <v>46234</v>
      </c>
      <c r="C28" s="20" t="s">
        <v>49</v>
      </c>
      <c r="D28" s="21"/>
      <c r="E28" s="22"/>
      <c r="F28" s="23"/>
      <c r="G28" s="24"/>
      <c r="H28" s="25"/>
      <c r="I28" s="26"/>
      <c r="J28" s="27"/>
      <c r="K28" s="28"/>
      <c r="L28" s="15"/>
      <c r="M28" s="16"/>
      <c r="N28" s="15"/>
      <c r="O28" s="16"/>
      <c r="P28" s="30"/>
    </row>
    <row r="29" spans="1:16">
      <c r="A29" s="18" t="str">
        <f t="shared" si="0"/>
        <v>20260731-025</v>
      </c>
      <c r="B29" s="19">
        <f t="shared" si="1"/>
        <v>46234</v>
      </c>
      <c r="C29" s="20" t="s">
        <v>50</v>
      </c>
      <c r="D29" s="31"/>
      <c r="E29" s="22"/>
      <c r="F29" s="23"/>
      <c r="G29" s="24"/>
      <c r="H29" s="25"/>
      <c r="I29" s="26"/>
      <c r="J29" s="27"/>
      <c r="K29" s="28"/>
      <c r="L29" s="15"/>
      <c r="M29" s="16"/>
      <c r="N29" s="15"/>
      <c r="O29" s="16"/>
      <c r="P29" s="17"/>
    </row>
    <row r="30" spans="1:16">
      <c r="A30" s="18" t="str">
        <f t="shared" si="0"/>
        <v>20260731-026</v>
      </c>
      <c r="B30" s="19">
        <f t="shared" si="1"/>
        <v>46234</v>
      </c>
      <c r="C30" s="20" t="s">
        <v>51</v>
      </c>
      <c r="D30" s="21"/>
      <c r="E30" s="22">
        <v>1</v>
      </c>
      <c r="F30" s="23"/>
      <c r="G30" s="24">
        <v>2</v>
      </c>
      <c r="H30" s="25"/>
      <c r="I30" s="26"/>
      <c r="J30" s="27"/>
      <c r="K30" s="28">
        <v>3</v>
      </c>
      <c r="L30" s="15"/>
      <c r="M30" s="16"/>
      <c r="N30" s="15"/>
      <c r="O30" s="16"/>
      <c r="P30" s="30"/>
    </row>
    <row r="31" spans="1:16">
      <c r="A31" s="18" t="str">
        <f t="shared" si="0"/>
        <v>20260731-027</v>
      </c>
      <c r="B31" s="19">
        <f t="shared" si="1"/>
        <v>46234</v>
      </c>
      <c r="C31" s="20" t="s">
        <v>52</v>
      </c>
      <c r="D31" s="31"/>
      <c r="E31" s="22"/>
      <c r="F31" s="23"/>
      <c r="G31" s="24"/>
      <c r="H31" s="25"/>
      <c r="I31" s="26"/>
      <c r="J31" s="27"/>
      <c r="K31" s="28"/>
      <c r="L31" s="15"/>
      <c r="M31" s="16"/>
      <c r="N31" s="15"/>
      <c r="O31" s="16"/>
      <c r="P31" s="17"/>
    </row>
    <row r="32" spans="1:16">
      <c r="A32" s="18" t="str">
        <f t="shared" si="0"/>
        <v>20260731-028</v>
      </c>
      <c r="B32" s="19">
        <f t="shared" si="1"/>
        <v>46234</v>
      </c>
      <c r="C32" s="20" t="s">
        <v>53</v>
      </c>
      <c r="D32" s="21"/>
      <c r="E32" s="22">
        <v>1</v>
      </c>
      <c r="F32" s="23"/>
      <c r="G32" s="24"/>
      <c r="H32" s="25"/>
      <c r="I32" s="26"/>
      <c r="J32" s="27"/>
      <c r="K32" s="28"/>
      <c r="L32" s="15"/>
      <c r="M32" s="16"/>
      <c r="N32" s="15"/>
      <c r="O32" s="16"/>
      <c r="P32" s="30"/>
    </row>
    <row r="33" spans="1:16">
      <c r="A33" s="18" t="str">
        <f t="shared" si="0"/>
        <v>20260731-029</v>
      </c>
      <c r="B33" s="19">
        <f t="shared" si="1"/>
        <v>46234</v>
      </c>
      <c r="C33" s="20" t="s">
        <v>54</v>
      </c>
      <c r="D33" s="31"/>
      <c r="E33" s="22"/>
      <c r="F33" s="23"/>
      <c r="G33" s="24">
        <v>2</v>
      </c>
      <c r="H33" s="25"/>
      <c r="I33" s="26">
        <v>1</v>
      </c>
      <c r="J33" s="27"/>
      <c r="K33" s="28">
        <v>3</v>
      </c>
      <c r="L33" s="15"/>
      <c r="M33" s="16"/>
      <c r="N33" s="15"/>
      <c r="O33" s="16"/>
      <c r="P33" s="17"/>
    </row>
    <row r="34" spans="1:16">
      <c r="A34" s="18" t="str">
        <f t="shared" si="0"/>
        <v>20260731-030</v>
      </c>
      <c r="B34" s="19">
        <f t="shared" si="1"/>
        <v>46234</v>
      </c>
      <c r="C34" s="20" t="s">
        <v>55</v>
      </c>
      <c r="D34" s="21"/>
      <c r="E34" s="22"/>
      <c r="F34" s="23"/>
      <c r="G34" s="24"/>
      <c r="H34" s="25"/>
      <c r="I34" s="26"/>
      <c r="J34" s="27"/>
      <c r="K34" s="28"/>
      <c r="L34" s="15"/>
      <c r="M34" s="16"/>
      <c r="N34" s="15"/>
      <c r="O34" s="16"/>
      <c r="P34" s="30"/>
    </row>
    <row r="35" spans="1:16">
      <c r="A35" s="18" t="str">
        <f t="shared" si="0"/>
        <v>20260731-031</v>
      </c>
      <c r="B35" s="19">
        <f t="shared" si="1"/>
        <v>46234</v>
      </c>
      <c r="C35" s="20" t="s">
        <v>56</v>
      </c>
      <c r="D35" s="31"/>
      <c r="E35" s="22"/>
      <c r="F35" s="23"/>
      <c r="G35" s="24"/>
      <c r="H35" s="25"/>
      <c r="I35" s="26"/>
      <c r="J35" s="27"/>
      <c r="K35" s="28"/>
      <c r="L35" s="15"/>
      <c r="M35" s="16"/>
      <c r="N35" s="15"/>
      <c r="O35" s="16"/>
      <c r="P35" s="17"/>
    </row>
    <row r="36" spans="1:16">
      <c r="A36" s="18" t="str">
        <f t="shared" si="0"/>
        <v>20260731-032</v>
      </c>
      <c r="B36" s="19">
        <f t="shared" si="1"/>
        <v>46234</v>
      </c>
      <c r="C36" s="20" t="s">
        <v>57</v>
      </c>
      <c r="D36" s="21"/>
      <c r="E36" s="22"/>
      <c r="F36" s="23"/>
      <c r="G36" s="24"/>
      <c r="H36" s="25"/>
      <c r="I36" s="26"/>
      <c r="J36" s="27"/>
      <c r="K36" s="28"/>
      <c r="L36" s="15"/>
      <c r="M36" s="16"/>
      <c r="N36" s="15"/>
      <c r="O36" s="16"/>
      <c r="P36" s="30"/>
    </row>
    <row r="37" spans="1:16">
      <c r="A37" s="18" t="str">
        <f t="shared" ref="A37:A68" si="2">IFERROR(IF(B37="","",TEXT(B37,"YYYYMMDD")&amp;"-"&amp;TEXT(ROW()-4,"000")),"")</f>
        <v>20260731-033</v>
      </c>
      <c r="B37" s="19">
        <f t="shared" si="1"/>
        <v>46234</v>
      </c>
      <c r="C37" s="20" t="s">
        <v>58</v>
      </c>
      <c r="D37" s="31"/>
      <c r="E37" s="22"/>
      <c r="F37" s="23"/>
      <c r="G37" s="24"/>
      <c r="H37" s="25"/>
      <c r="I37" s="26"/>
      <c r="J37" s="27"/>
      <c r="K37" s="28"/>
      <c r="L37" s="15"/>
      <c r="M37" s="16"/>
      <c r="N37" s="15"/>
      <c r="O37" s="16"/>
      <c r="P37" s="17"/>
    </row>
    <row r="38" spans="1:16">
      <c r="A38" s="18" t="str">
        <f t="shared" si="2"/>
        <v>20260731-034</v>
      </c>
      <c r="B38" s="19">
        <f t="shared" ref="B38:B69" si="3">$B$5</f>
        <v>46234</v>
      </c>
      <c r="C38" s="20" t="s">
        <v>59</v>
      </c>
      <c r="D38" s="21"/>
      <c r="E38" s="22"/>
      <c r="F38" s="23"/>
      <c r="G38" s="24"/>
      <c r="H38" s="25"/>
      <c r="I38" s="26"/>
      <c r="J38" s="27"/>
      <c r="K38" s="28"/>
      <c r="L38" s="15"/>
      <c r="M38" s="16"/>
      <c r="N38" s="15"/>
      <c r="O38" s="16"/>
      <c r="P38" s="30"/>
    </row>
    <row r="39" spans="1:16">
      <c r="A39" s="18" t="str">
        <f t="shared" si="2"/>
        <v>20260731-035</v>
      </c>
      <c r="B39" s="19">
        <f t="shared" si="3"/>
        <v>46234</v>
      </c>
      <c r="C39" s="20" t="s">
        <v>60</v>
      </c>
      <c r="D39" s="31"/>
      <c r="E39" s="22"/>
      <c r="F39" s="23"/>
      <c r="G39" s="24"/>
      <c r="H39" s="25"/>
      <c r="I39" s="26"/>
      <c r="J39" s="27"/>
      <c r="K39" s="28"/>
      <c r="L39" s="15"/>
      <c r="M39" s="16"/>
      <c r="N39" s="15"/>
      <c r="O39" s="16"/>
      <c r="P39" s="17"/>
    </row>
    <row r="40" spans="1:16">
      <c r="A40" s="18" t="str">
        <f t="shared" si="2"/>
        <v>20260731-036</v>
      </c>
      <c r="B40" s="19">
        <f t="shared" si="3"/>
        <v>46234</v>
      </c>
      <c r="C40" s="20" t="s">
        <v>61</v>
      </c>
      <c r="D40" s="21"/>
      <c r="E40" s="22"/>
      <c r="F40" s="23"/>
      <c r="G40" s="24"/>
      <c r="H40" s="25"/>
      <c r="I40" s="26"/>
      <c r="J40" s="27"/>
      <c r="K40" s="28"/>
      <c r="L40" s="15"/>
      <c r="M40" s="16"/>
      <c r="N40" s="15"/>
      <c r="O40" s="16"/>
      <c r="P40" s="30"/>
    </row>
    <row r="41" spans="1:16">
      <c r="A41" s="18" t="str">
        <f t="shared" si="2"/>
        <v>20260731-037</v>
      </c>
      <c r="B41" s="19">
        <f t="shared" si="3"/>
        <v>46234</v>
      </c>
      <c r="C41" s="20" t="s">
        <v>62</v>
      </c>
      <c r="D41" s="31"/>
      <c r="E41" s="22"/>
      <c r="F41" s="23"/>
      <c r="G41" s="24"/>
      <c r="H41" s="25"/>
      <c r="I41" s="26"/>
      <c r="J41" s="27"/>
      <c r="K41" s="28"/>
      <c r="L41" s="15"/>
      <c r="M41" s="16"/>
      <c r="N41" s="15"/>
      <c r="O41" s="16"/>
      <c r="P41" s="17"/>
    </row>
    <row r="42" spans="1:16">
      <c r="A42" s="18" t="str">
        <f t="shared" si="2"/>
        <v>20260731-038</v>
      </c>
      <c r="B42" s="19">
        <f t="shared" si="3"/>
        <v>46234</v>
      </c>
      <c r="C42" s="20" t="s">
        <v>63</v>
      </c>
      <c r="D42" s="21"/>
      <c r="E42" s="22"/>
      <c r="F42" s="23"/>
      <c r="G42" s="24"/>
      <c r="H42" s="25"/>
      <c r="I42" s="26"/>
      <c r="J42" s="27"/>
      <c r="K42" s="28"/>
      <c r="L42" s="15"/>
      <c r="M42" s="16"/>
      <c r="N42" s="15"/>
      <c r="O42" s="16"/>
      <c r="P42" s="30"/>
    </row>
    <row r="43" spans="1:16">
      <c r="A43" s="18" t="str">
        <f t="shared" si="2"/>
        <v>20260731-039</v>
      </c>
      <c r="B43" s="19">
        <f t="shared" si="3"/>
        <v>46234</v>
      </c>
      <c r="C43" s="20" t="s">
        <v>64</v>
      </c>
      <c r="D43" s="31"/>
      <c r="E43" s="22"/>
      <c r="F43" s="23"/>
      <c r="G43" s="24"/>
      <c r="H43" s="25"/>
      <c r="I43" s="26"/>
      <c r="J43" s="27"/>
      <c r="K43" s="28"/>
      <c r="L43" s="15"/>
      <c r="M43" s="16"/>
      <c r="N43" s="15"/>
      <c r="O43" s="16"/>
      <c r="P43" s="17"/>
    </row>
    <row r="44" spans="1:16">
      <c r="A44" s="18" t="str">
        <f t="shared" si="2"/>
        <v>20260731-040</v>
      </c>
      <c r="B44" s="19">
        <f t="shared" si="3"/>
        <v>46234</v>
      </c>
      <c r="C44" s="20" t="s">
        <v>65</v>
      </c>
      <c r="D44" s="21"/>
      <c r="E44" s="22"/>
      <c r="F44" s="23"/>
      <c r="G44" s="24"/>
      <c r="H44" s="25"/>
      <c r="I44" s="26"/>
      <c r="J44" s="27"/>
      <c r="K44" s="28"/>
      <c r="L44" s="15"/>
      <c r="M44" s="16"/>
      <c r="N44" s="15"/>
      <c r="O44" s="16"/>
      <c r="P44" s="30"/>
    </row>
    <row r="45" spans="1:16">
      <c r="A45" s="18" t="str">
        <f t="shared" si="2"/>
        <v>20260731-041</v>
      </c>
      <c r="B45" s="19">
        <f t="shared" si="3"/>
        <v>46234</v>
      </c>
      <c r="C45" s="20" t="s">
        <v>66</v>
      </c>
      <c r="D45" s="31"/>
      <c r="E45" s="22"/>
      <c r="F45" s="23"/>
      <c r="G45" s="24"/>
      <c r="H45" s="25"/>
      <c r="I45" s="26"/>
      <c r="J45" s="27"/>
      <c r="K45" s="28"/>
      <c r="L45" s="15"/>
      <c r="M45" s="16"/>
      <c r="N45" s="15"/>
      <c r="O45" s="16"/>
      <c r="P45" s="17"/>
    </row>
    <row r="46" spans="1:16">
      <c r="A46" s="18" t="str">
        <f t="shared" si="2"/>
        <v>20260731-042</v>
      </c>
      <c r="B46" s="19">
        <f t="shared" si="3"/>
        <v>46234</v>
      </c>
      <c r="C46" s="20" t="s">
        <v>67</v>
      </c>
      <c r="D46" s="21"/>
      <c r="E46" s="22"/>
      <c r="F46" s="23"/>
      <c r="G46" s="24"/>
      <c r="H46" s="25"/>
      <c r="I46" s="26"/>
      <c r="J46" s="27"/>
      <c r="K46" s="28"/>
      <c r="L46" s="15"/>
      <c r="M46" s="16"/>
      <c r="N46" s="15"/>
      <c r="O46" s="16"/>
      <c r="P46" s="30"/>
    </row>
    <row r="47" spans="1:16">
      <c r="A47" s="18" t="str">
        <f t="shared" si="2"/>
        <v>20260731-043</v>
      </c>
      <c r="B47" s="19">
        <f t="shared" si="3"/>
        <v>46234</v>
      </c>
      <c r="C47" s="20" t="s">
        <v>68</v>
      </c>
      <c r="D47" s="31"/>
      <c r="E47" s="22"/>
      <c r="F47" s="23"/>
      <c r="G47" s="24"/>
      <c r="H47" s="25"/>
      <c r="I47" s="26"/>
      <c r="J47" s="27"/>
      <c r="K47" s="28"/>
      <c r="L47" s="15"/>
      <c r="M47" s="16"/>
      <c r="N47" s="15"/>
      <c r="O47" s="16"/>
      <c r="P47" s="17"/>
    </row>
    <row r="48" spans="1:16">
      <c r="A48" s="18" t="str">
        <f t="shared" si="2"/>
        <v>20260731-044</v>
      </c>
      <c r="B48" s="19">
        <f t="shared" si="3"/>
        <v>46234</v>
      </c>
      <c r="C48" s="20" t="s">
        <v>69</v>
      </c>
      <c r="D48" s="21"/>
      <c r="E48" s="22"/>
      <c r="F48" s="23"/>
      <c r="G48" s="24">
        <v>1</v>
      </c>
      <c r="H48" s="25"/>
      <c r="I48" s="26"/>
      <c r="J48" s="27"/>
      <c r="K48" s="28"/>
      <c r="L48" s="15"/>
      <c r="M48" s="16"/>
      <c r="N48" s="15"/>
      <c r="O48" s="16"/>
      <c r="P48" s="30"/>
    </row>
    <row r="49" spans="1:16">
      <c r="A49" s="18" t="str">
        <f t="shared" si="2"/>
        <v>20260731-045</v>
      </c>
      <c r="B49" s="19">
        <f t="shared" si="3"/>
        <v>46234</v>
      </c>
      <c r="C49" s="20" t="s">
        <v>70</v>
      </c>
      <c r="D49" s="31"/>
      <c r="E49" s="22"/>
      <c r="F49" s="23"/>
      <c r="G49" s="24"/>
      <c r="H49" s="25"/>
      <c r="I49" s="26"/>
      <c r="J49" s="27"/>
      <c r="K49" s="28"/>
      <c r="L49" s="15"/>
      <c r="M49" s="16"/>
      <c r="N49" s="15"/>
      <c r="O49" s="16"/>
      <c r="P49" s="17"/>
    </row>
    <row r="50" spans="1:16">
      <c r="A50" s="18" t="str">
        <f t="shared" si="2"/>
        <v>20260731-046</v>
      </c>
      <c r="B50" s="19">
        <f t="shared" si="3"/>
        <v>46234</v>
      </c>
      <c r="C50" s="20" t="s">
        <v>71</v>
      </c>
      <c r="D50" s="21"/>
      <c r="E50" s="22">
        <v>1</v>
      </c>
      <c r="F50" s="23"/>
      <c r="G50" s="24"/>
      <c r="H50" s="25"/>
      <c r="I50" s="26"/>
      <c r="J50" s="27"/>
      <c r="K50" s="28">
        <v>1</v>
      </c>
      <c r="L50" s="15"/>
      <c r="M50" s="16"/>
      <c r="N50" s="15"/>
      <c r="O50" s="16"/>
      <c r="P50" s="30"/>
    </row>
    <row r="51" spans="1:16">
      <c r="A51" s="18" t="str">
        <f t="shared" si="2"/>
        <v>20260731-047</v>
      </c>
      <c r="B51" s="19">
        <f t="shared" si="3"/>
        <v>46234</v>
      </c>
      <c r="C51" s="20" t="s">
        <v>72</v>
      </c>
      <c r="D51" s="31"/>
      <c r="E51" s="22"/>
      <c r="F51" s="23"/>
      <c r="G51" s="24"/>
      <c r="H51" s="25"/>
      <c r="I51" s="26"/>
      <c r="J51" s="27"/>
      <c r="K51" s="28"/>
      <c r="L51" s="15"/>
      <c r="M51" s="16"/>
      <c r="N51" s="15"/>
      <c r="O51" s="16"/>
      <c r="P51" s="17"/>
    </row>
    <row r="52" spans="1:16">
      <c r="A52" s="18" t="str">
        <f t="shared" si="2"/>
        <v>20260731-048</v>
      </c>
      <c r="B52" s="19">
        <f t="shared" si="3"/>
        <v>46234</v>
      </c>
      <c r="C52" s="20" t="s">
        <v>73</v>
      </c>
      <c r="D52" s="21"/>
      <c r="E52" s="22">
        <v>1</v>
      </c>
      <c r="F52" s="23"/>
      <c r="G52" s="24"/>
      <c r="H52" s="25"/>
      <c r="I52" s="26"/>
      <c r="J52" s="27"/>
      <c r="K52" s="28">
        <v>2</v>
      </c>
      <c r="L52" s="15"/>
      <c r="M52" s="16"/>
      <c r="N52" s="15"/>
      <c r="O52" s="16"/>
      <c r="P52" s="30"/>
    </row>
    <row r="53" spans="1:16">
      <c r="A53" s="18" t="str">
        <f t="shared" si="2"/>
        <v>20260731-049</v>
      </c>
      <c r="B53" s="19">
        <f t="shared" si="3"/>
        <v>46234</v>
      </c>
      <c r="C53" s="20" t="s">
        <v>74</v>
      </c>
      <c r="D53" s="31"/>
      <c r="E53" s="22"/>
      <c r="F53" s="23"/>
      <c r="G53" s="24"/>
      <c r="H53" s="25">
        <v>2</v>
      </c>
      <c r="I53" s="26">
        <v>3</v>
      </c>
      <c r="J53" s="27"/>
      <c r="K53" s="28"/>
      <c r="L53" s="15"/>
      <c r="M53" s="16"/>
      <c r="N53" s="15"/>
      <c r="O53" s="16"/>
      <c r="P53" s="17"/>
    </row>
    <row r="54" spans="1:16">
      <c r="A54" s="18" t="str">
        <f t="shared" si="2"/>
        <v>20260731-050</v>
      </c>
      <c r="B54" s="19">
        <f t="shared" si="3"/>
        <v>46234</v>
      </c>
      <c r="C54" s="20" t="s">
        <v>75</v>
      </c>
      <c r="D54" s="31"/>
      <c r="E54" s="22"/>
      <c r="F54" s="23"/>
      <c r="G54" s="24"/>
      <c r="H54" s="25"/>
      <c r="I54" s="26"/>
      <c r="J54" s="27"/>
      <c r="K54" s="28"/>
      <c r="L54" s="15"/>
      <c r="M54" s="16"/>
      <c r="N54" s="15"/>
      <c r="O54" s="16"/>
      <c r="P54" s="17"/>
    </row>
    <row r="55" spans="1:16">
      <c r="A55" s="18" t="str">
        <f t="shared" si="2"/>
        <v>20260731-051</v>
      </c>
      <c r="B55" s="19">
        <f t="shared" si="3"/>
        <v>46234</v>
      </c>
      <c r="C55" s="20" t="s">
        <v>76</v>
      </c>
      <c r="D55" s="31"/>
      <c r="E55" s="22"/>
      <c r="F55" s="23"/>
      <c r="G55" s="24"/>
      <c r="H55" s="25"/>
      <c r="I55" s="26"/>
      <c r="J55" s="27"/>
      <c r="K55" s="28"/>
      <c r="L55" s="15"/>
      <c r="M55" s="16"/>
      <c r="N55" s="15"/>
      <c r="O55" s="16"/>
      <c r="P55" s="17"/>
    </row>
    <row r="56" spans="1:16">
      <c r="A56" s="18" t="str">
        <f t="shared" si="2"/>
        <v>20260731-052</v>
      </c>
      <c r="B56" s="19">
        <f t="shared" si="3"/>
        <v>46234</v>
      </c>
      <c r="C56" s="20" t="s">
        <v>77</v>
      </c>
      <c r="D56" s="31"/>
      <c r="E56" s="22"/>
      <c r="F56" s="23"/>
      <c r="G56" s="24"/>
      <c r="H56" s="25"/>
      <c r="I56" s="26"/>
      <c r="J56" s="27"/>
      <c r="K56" s="28"/>
      <c r="L56" s="15"/>
      <c r="M56" s="16"/>
      <c r="N56" s="15"/>
      <c r="O56" s="16"/>
      <c r="P56" s="17"/>
    </row>
    <row r="57" spans="1:16">
      <c r="A57" s="18" t="str">
        <f t="shared" si="2"/>
        <v>20260731-053</v>
      </c>
      <c r="B57" s="19">
        <f t="shared" si="3"/>
        <v>46234</v>
      </c>
      <c r="C57" s="20" t="s">
        <v>78</v>
      </c>
      <c r="D57" s="31"/>
      <c r="E57" s="22"/>
      <c r="F57" s="23"/>
      <c r="G57" s="24"/>
      <c r="H57" s="25"/>
      <c r="I57" s="26"/>
      <c r="J57" s="27"/>
      <c r="K57" s="28"/>
      <c r="L57" s="15"/>
      <c r="M57" s="16"/>
      <c r="N57" s="15"/>
      <c r="O57" s="16"/>
      <c r="P57" s="17"/>
    </row>
    <row r="58" spans="1:16">
      <c r="A58" s="18" t="str">
        <f t="shared" si="2"/>
        <v>20260731-054</v>
      </c>
      <c r="B58" s="19">
        <f t="shared" si="3"/>
        <v>46234</v>
      </c>
      <c r="C58" s="20" t="s">
        <v>79</v>
      </c>
      <c r="D58" s="31"/>
      <c r="E58" s="22"/>
      <c r="F58" s="23"/>
      <c r="G58" s="24"/>
      <c r="H58" s="25"/>
      <c r="I58" s="26"/>
      <c r="J58" s="27"/>
      <c r="K58" s="28"/>
      <c r="L58" s="15"/>
      <c r="M58" s="16"/>
      <c r="N58" s="15"/>
      <c r="O58" s="16"/>
      <c r="P58" s="17"/>
    </row>
    <row r="59" spans="1:16">
      <c r="A59" s="18" t="str">
        <f t="shared" si="2"/>
        <v>20260731-055</v>
      </c>
      <c r="B59" s="19">
        <f t="shared" si="3"/>
        <v>46234</v>
      </c>
      <c r="C59" s="20" t="s">
        <v>80</v>
      </c>
      <c r="D59" s="31"/>
      <c r="E59" s="22"/>
      <c r="F59" s="23"/>
      <c r="G59" s="24"/>
      <c r="H59" s="25"/>
      <c r="I59" s="26"/>
      <c r="J59" s="27"/>
      <c r="K59" s="28"/>
      <c r="L59" s="15"/>
      <c r="M59" s="16"/>
      <c r="N59" s="15"/>
      <c r="O59" s="16"/>
      <c r="P59" s="17"/>
    </row>
    <row r="60" spans="1:16">
      <c r="A60" s="18" t="str">
        <f t="shared" si="2"/>
        <v>20260731-056</v>
      </c>
      <c r="B60" s="19">
        <f t="shared" si="3"/>
        <v>46234</v>
      </c>
      <c r="C60" s="20" t="s">
        <v>81</v>
      </c>
      <c r="D60" s="31"/>
      <c r="E60" s="22"/>
      <c r="F60" s="23"/>
      <c r="G60" s="24"/>
      <c r="H60" s="25"/>
      <c r="I60" s="26"/>
      <c r="J60" s="27"/>
      <c r="K60" s="28"/>
      <c r="L60" s="15"/>
      <c r="M60" s="16"/>
      <c r="N60" s="15"/>
      <c r="O60" s="16"/>
      <c r="P60" s="17"/>
    </row>
    <row r="61" spans="1:16">
      <c r="A61" s="18" t="str">
        <f t="shared" si="2"/>
        <v>20260731-057</v>
      </c>
      <c r="B61" s="19">
        <f t="shared" si="3"/>
        <v>46234</v>
      </c>
      <c r="C61" s="20" t="s">
        <v>82</v>
      </c>
      <c r="D61" s="21"/>
      <c r="E61" s="22"/>
      <c r="F61" s="23"/>
      <c r="G61" s="24"/>
      <c r="H61" s="25"/>
      <c r="I61" s="26"/>
      <c r="J61" s="27"/>
      <c r="K61" s="28"/>
      <c r="L61" s="15"/>
      <c r="M61" s="16"/>
      <c r="N61" s="15"/>
      <c r="O61" s="16"/>
      <c r="P61" s="30"/>
    </row>
    <row r="62" spans="1:16">
      <c r="A62" s="18" t="str">
        <f t="shared" si="2"/>
        <v>20260731-058</v>
      </c>
      <c r="B62" s="19">
        <f t="shared" si="3"/>
        <v>46234</v>
      </c>
      <c r="C62" s="20" t="s">
        <v>83</v>
      </c>
      <c r="D62" s="31"/>
      <c r="E62" s="22"/>
      <c r="F62" s="23"/>
      <c r="G62" s="24"/>
      <c r="H62" s="25"/>
      <c r="I62" s="26"/>
      <c r="J62" s="27"/>
      <c r="K62" s="28"/>
      <c r="L62" s="15"/>
      <c r="M62" s="16"/>
      <c r="N62" s="15"/>
      <c r="O62" s="16"/>
      <c r="P62" s="17"/>
    </row>
    <row r="63" spans="1:16">
      <c r="A63" s="18" t="str">
        <f t="shared" si="2"/>
        <v>20260731-059</v>
      </c>
      <c r="B63" s="19">
        <f t="shared" si="3"/>
        <v>46234</v>
      </c>
      <c r="C63" s="20" t="s">
        <v>84</v>
      </c>
      <c r="D63" s="21">
        <v>20</v>
      </c>
      <c r="E63" s="22"/>
      <c r="F63" s="23"/>
      <c r="G63" s="24"/>
      <c r="H63" s="25"/>
      <c r="I63" s="26"/>
      <c r="J63" s="27"/>
      <c r="K63" s="28"/>
      <c r="L63" s="15"/>
      <c r="M63" s="16"/>
      <c r="N63" s="15"/>
      <c r="O63" s="16"/>
      <c r="P63" s="30"/>
    </row>
    <row r="64" spans="1:16">
      <c r="A64" s="18" t="str">
        <f t="shared" si="2"/>
        <v>20260731-060</v>
      </c>
      <c r="B64" s="19">
        <f t="shared" si="3"/>
        <v>46234</v>
      </c>
      <c r="C64" s="20" t="s">
        <v>85</v>
      </c>
      <c r="D64" s="31">
        <v>15</v>
      </c>
      <c r="E64" s="22"/>
      <c r="F64" s="23"/>
      <c r="G64" s="24"/>
      <c r="H64" s="25"/>
      <c r="I64" s="26"/>
      <c r="J64" s="27"/>
      <c r="K64" s="28"/>
      <c r="L64" s="15"/>
      <c r="M64" s="16"/>
      <c r="N64" s="15"/>
      <c r="O64" s="16"/>
      <c r="P64" s="17"/>
    </row>
    <row r="65" spans="1:16">
      <c r="A65" s="18" t="str">
        <f t="shared" si="2"/>
        <v>20260731-061</v>
      </c>
      <c r="B65" s="19">
        <f t="shared" si="3"/>
        <v>46234</v>
      </c>
      <c r="C65" s="20" t="s">
        <v>86</v>
      </c>
      <c r="D65" s="21">
        <v>30</v>
      </c>
      <c r="E65" s="22"/>
      <c r="F65" s="23"/>
      <c r="G65" s="24"/>
      <c r="H65" s="25"/>
      <c r="I65" s="26"/>
      <c r="J65" s="27"/>
      <c r="K65" s="28"/>
      <c r="L65" s="15"/>
      <c r="M65" s="16"/>
      <c r="N65" s="15"/>
      <c r="O65" s="16"/>
      <c r="P65" s="30"/>
    </row>
    <row r="66" spans="1:16">
      <c r="A66" s="18" t="str">
        <f t="shared" si="2"/>
        <v>20260731-062</v>
      </c>
      <c r="B66" s="19">
        <f t="shared" si="3"/>
        <v>46234</v>
      </c>
      <c r="C66" s="20" t="s">
        <v>87</v>
      </c>
      <c r="D66" s="31">
        <v>10</v>
      </c>
      <c r="E66" s="22"/>
      <c r="F66" s="23"/>
      <c r="G66" s="24"/>
      <c r="H66" s="25"/>
      <c r="I66" s="26"/>
      <c r="J66" s="27"/>
      <c r="K66" s="28"/>
      <c r="L66" s="15"/>
      <c r="M66" s="16"/>
      <c r="N66" s="15"/>
      <c r="O66" s="16"/>
      <c r="P66" s="17"/>
    </row>
    <row r="67" spans="1:16">
      <c r="A67" s="18" t="str">
        <f t="shared" si="2"/>
        <v>20260731-063</v>
      </c>
      <c r="B67" s="19">
        <f t="shared" si="3"/>
        <v>46234</v>
      </c>
      <c r="C67" s="20" t="s">
        <v>88</v>
      </c>
      <c r="D67" s="21"/>
      <c r="E67" s="22"/>
      <c r="F67" s="23"/>
      <c r="G67" s="24"/>
      <c r="H67" s="25">
        <v>4</v>
      </c>
      <c r="I67" s="26">
        <v>5</v>
      </c>
      <c r="J67" s="27"/>
      <c r="K67" s="28"/>
      <c r="L67" s="15"/>
      <c r="M67" s="16"/>
      <c r="N67" s="15"/>
      <c r="O67" s="16"/>
      <c r="P67" s="30"/>
    </row>
    <row r="68" spans="1:16">
      <c r="A68" s="18" t="str">
        <f t="shared" si="2"/>
        <v>20260731-064</v>
      </c>
      <c r="B68" s="19">
        <f t="shared" si="3"/>
        <v>46234</v>
      </c>
      <c r="C68" s="20" t="s">
        <v>89</v>
      </c>
      <c r="D68" s="31"/>
      <c r="E68" s="22">
        <v>3</v>
      </c>
      <c r="F68" s="23"/>
      <c r="G68" s="24"/>
      <c r="H68" s="25"/>
      <c r="I68" s="26"/>
      <c r="J68" s="27"/>
      <c r="K68" s="28">
        <v>2</v>
      </c>
      <c r="L68" s="15"/>
      <c r="M68" s="16"/>
      <c r="N68" s="15"/>
      <c r="O68" s="16"/>
      <c r="P68" s="17"/>
    </row>
    <row r="69" spans="1:16">
      <c r="A69" s="18" t="str">
        <f t="shared" ref="A69:A80" si="4">IFERROR(IF(B69="","",TEXT(B69,"YYYYMMDD")&amp;"-"&amp;TEXT(ROW()-4,"000")),"")</f>
        <v>20260731-065</v>
      </c>
      <c r="B69" s="19">
        <f t="shared" si="3"/>
        <v>46234</v>
      </c>
      <c r="C69" s="20" t="s">
        <v>90</v>
      </c>
      <c r="D69" s="21"/>
      <c r="E69" s="22"/>
      <c r="F69" s="23"/>
      <c r="G69" s="24"/>
      <c r="H69" s="25"/>
      <c r="I69" s="26"/>
      <c r="J69" s="27"/>
      <c r="K69" s="28"/>
      <c r="L69" s="15"/>
      <c r="M69" s="16"/>
      <c r="N69" s="15"/>
      <c r="O69" s="16"/>
      <c r="P69" s="30"/>
    </row>
    <row r="70" spans="1:16">
      <c r="A70" s="18" t="str">
        <f t="shared" si="4"/>
        <v>20260731-066</v>
      </c>
      <c r="B70" s="19">
        <f t="shared" ref="B70:B80" si="5">$B$5</f>
        <v>46234</v>
      </c>
      <c r="C70" s="20" t="s">
        <v>91</v>
      </c>
      <c r="D70" s="31"/>
      <c r="E70" s="22"/>
      <c r="F70" s="23"/>
      <c r="G70" s="24">
        <v>1</v>
      </c>
      <c r="H70" s="25"/>
      <c r="I70" s="26"/>
      <c r="J70" s="27">
        <v>1</v>
      </c>
      <c r="K70" s="28"/>
      <c r="L70" s="15"/>
      <c r="M70" s="16"/>
      <c r="N70" s="15"/>
      <c r="O70" s="16"/>
      <c r="P70" s="17"/>
    </row>
    <row r="71" spans="1:16">
      <c r="A71" s="18" t="str">
        <f t="shared" si="4"/>
        <v>20260731-067</v>
      </c>
      <c r="B71" s="19">
        <f t="shared" si="5"/>
        <v>46234</v>
      </c>
      <c r="C71" s="20" t="s">
        <v>92</v>
      </c>
      <c r="D71" s="21"/>
      <c r="E71" s="22"/>
      <c r="F71" s="23"/>
      <c r="G71" s="24"/>
      <c r="H71" s="25"/>
      <c r="I71" s="26"/>
      <c r="J71" s="27"/>
      <c r="K71" s="28"/>
      <c r="L71" s="15"/>
      <c r="M71" s="16"/>
      <c r="N71" s="15"/>
      <c r="O71" s="16"/>
      <c r="P71" s="30"/>
    </row>
    <row r="72" spans="1:16">
      <c r="A72" s="18" t="str">
        <f t="shared" si="4"/>
        <v>20260731-068</v>
      </c>
      <c r="B72" s="19">
        <f t="shared" si="5"/>
        <v>46234</v>
      </c>
      <c r="C72" s="20" t="s">
        <v>93</v>
      </c>
      <c r="D72" s="31"/>
      <c r="E72" s="22">
        <v>1</v>
      </c>
      <c r="F72" s="23"/>
      <c r="G72" s="24"/>
      <c r="H72" s="25"/>
      <c r="I72" s="26"/>
      <c r="J72" s="27"/>
      <c r="K72" s="28">
        <v>1</v>
      </c>
      <c r="L72" s="15"/>
      <c r="M72" s="16"/>
      <c r="N72" s="15"/>
      <c r="O72" s="16"/>
      <c r="P72" s="17"/>
    </row>
    <row r="73" spans="1:16">
      <c r="A73" s="18" t="str">
        <f t="shared" si="4"/>
        <v>20260731-069</v>
      </c>
      <c r="B73" s="19">
        <f t="shared" si="5"/>
        <v>46234</v>
      </c>
      <c r="C73" s="20" t="s">
        <v>94</v>
      </c>
      <c r="D73" s="21"/>
      <c r="E73" s="22"/>
      <c r="F73" s="23"/>
      <c r="G73" s="24"/>
      <c r="H73" s="25"/>
      <c r="I73" s="26"/>
      <c r="J73" s="27"/>
      <c r="K73" s="28"/>
      <c r="L73" s="15"/>
      <c r="M73" s="16"/>
      <c r="N73" s="15"/>
      <c r="O73" s="16"/>
      <c r="P73" s="30"/>
    </row>
    <row r="74" spans="1:16">
      <c r="A74" s="18" t="str">
        <f t="shared" si="4"/>
        <v>20260731-070</v>
      </c>
      <c r="B74" s="19">
        <f t="shared" si="5"/>
        <v>46234</v>
      </c>
      <c r="C74" s="20" t="s">
        <v>95</v>
      </c>
      <c r="D74" s="31"/>
      <c r="E74" s="22"/>
      <c r="F74" s="23"/>
      <c r="G74" s="24"/>
      <c r="H74" s="25"/>
      <c r="I74" s="26"/>
      <c r="J74" s="27"/>
      <c r="K74" s="28"/>
      <c r="L74" s="34">
        <v>3</v>
      </c>
      <c r="M74" s="16">
        <v>5</v>
      </c>
      <c r="N74" s="15"/>
      <c r="O74" s="16"/>
    </row>
    <row r="75" spans="1:16">
      <c r="A75" s="18" t="str">
        <f t="shared" si="4"/>
        <v>20260731-071</v>
      </c>
      <c r="B75" s="19">
        <f t="shared" si="5"/>
        <v>46234</v>
      </c>
      <c r="C75" s="20" t="s">
        <v>96</v>
      </c>
      <c r="D75" s="21"/>
      <c r="E75" s="22"/>
      <c r="F75" s="23"/>
      <c r="G75" s="24">
        <v>2</v>
      </c>
      <c r="H75" s="25"/>
      <c r="I75" s="26"/>
      <c r="J75" s="27"/>
      <c r="K75" s="28">
        <v>3</v>
      </c>
      <c r="L75" s="15"/>
      <c r="M75" s="16"/>
      <c r="N75" s="15"/>
      <c r="O75" s="16"/>
      <c r="P75" s="30"/>
    </row>
    <row r="76" spans="1:16">
      <c r="A76" s="18" t="str">
        <f t="shared" si="4"/>
        <v>20260731-072</v>
      </c>
      <c r="B76" s="19">
        <f t="shared" si="5"/>
        <v>46234</v>
      </c>
      <c r="C76" s="20" t="s">
        <v>97</v>
      </c>
      <c r="D76" s="31"/>
      <c r="E76" s="22"/>
      <c r="F76" s="23"/>
      <c r="G76" s="24">
        <v>2</v>
      </c>
      <c r="H76" s="25"/>
      <c r="I76" s="26"/>
      <c r="J76" s="27"/>
      <c r="K76" s="28">
        <v>2</v>
      </c>
      <c r="L76" s="15"/>
      <c r="M76" s="16"/>
      <c r="N76" s="15"/>
      <c r="O76" s="16"/>
    </row>
    <row r="77" spans="1:16">
      <c r="A77" s="18" t="str">
        <f t="shared" si="4"/>
        <v>20260731-073</v>
      </c>
      <c r="B77" s="19">
        <f t="shared" si="5"/>
        <v>46234</v>
      </c>
      <c r="C77" s="20" t="s">
        <v>98</v>
      </c>
      <c r="D77" s="21"/>
      <c r="E77" s="22"/>
      <c r="F77" s="23"/>
      <c r="G77" s="24">
        <v>1</v>
      </c>
      <c r="H77" s="25">
        <v>3</v>
      </c>
      <c r="I77" s="26"/>
      <c r="J77" s="27"/>
      <c r="K77" s="28"/>
      <c r="L77" s="34"/>
      <c r="M77" s="16"/>
      <c r="N77" s="15"/>
      <c r="O77" s="16"/>
      <c r="P77" s="30"/>
    </row>
    <row r="78" spans="1:16">
      <c r="A78" s="18" t="str">
        <f t="shared" si="4"/>
        <v>20260731-074</v>
      </c>
      <c r="B78" s="19">
        <f t="shared" si="5"/>
        <v>46234</v>
      </c>
      <c r="C78" s="20" t="s">
        <v>99</v>
      </c>
      <c r="D78" s="31"/>
      <c r="E78" s="22"/>
      <c r="F78" s="23"/>
      <c r="G78" s="24"/>
      <c r="H78" s="25"/>
      <c r="I78" s="26"/>
      <c r="J78" s="27"/>
      <c r="K78" s="28"/>
      <c r="L78" s="15"/>
      <c r="M78" s="16"/>
      <c r="N78" s="15"/>
      <c r="O78" s="16"/>
    </row>
    <row r="79" spans="1:16">
      <c r="A79" s="18" t="str">
        <f t="shared" si="4"/>
        <v>20260731-075</v>
      </c>
      <c r="B79" s="19">
        <f t="shared" si="5"/>
        <v>46234</v>
      </c>
      <c r="C79" s="20" t="s">
        <v>100</v>
      </c>
      <c r="D79" s="21"/>
      <c r="E79" s="22"/>
      <c r="F79" s="23"/>
      <c r="G79" s="24"/>
      <c r="H79" s="25"/>
      <c r="I79" s="26"/>
      <c r="J79" s="27"/>
      <c r="K79" s="28"/>
      <c r="L79" s="15"/>
      <c r="M79" s="16"/>
      <c r="N79" s="15"/>
      <c r="O79" s="16"/>
      <c r="P79" s="30"/>
    </row>
    <row r="80" spans="1:16">
      <c r="A80" s="18" t="str">
        <f t="shared" si="4"/>
        <v>20260731-076</v>
      </c>
      <c r="B80" s="19">
        <f t="shared" si="5"/>
        <v>46234</v>
      </c>
      <c r="C80" s="20" t="s">
        <v>101</v>
      </c>
      <c r="D80" s="31"/>
      <c r="E80" s="22"/>
      <c r="F80" s="23"/>
      <c r="G80" s="24"/>
      <c r="H80" s="25"/>
      <c r="I80" s="26"/>
      <c r="J80" s="27"/>
      <c r="K80" s="28"/>
      <c r="L80" s="15"/>
      <c r="M80" s="16"/>
      <c r="N80" s="15"/>
      <c r="O80" s="16"/>
    </row>
  </sheetData>
  <mergeCells count="2">
    <mergeCell ref="A1:P1"/>
    <mergeCell ref="A2:P2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31</vt:i4>
      </vt:variant>
    </vt:vector>
  </HeadingPairs>
  <TitlesOfParts>
    <vt:vector size="31" baseType="lpstr">
      <vt:lpstr>20260701</vt:lpstr>
      <vt:lpstr>20260702</vt:lpstr>
      <vt:lpstr>20260703</vt:lpstr>
      <vt:lpstr>20260704</vt:lpstr>
      <vt:lpstr>20260705</vt:lpstr>
      <vt:lpstr>20260706</vt:lpstr>
      <vt:lpstr>20260707</vt:lpstr>
      <vt:lpstr>20260708</vt:lpstr>
      <vt:lpstr>20260709</vt:lpstr>
      <vt:lpstr>20260710</vt:lpstr>
      <vt:lpstr>20260711</vt:lpstr>
      <vt:lpstr>20260712</vt:lpstr>
      <vt:lpstr>20260713</vt:lpstr>
      <vt:lpstr>20260714</vt:lpstr>
      <vt:lpstr>20260715</vt:lpstr>
      <vt:lpstr>20260716</vt:lpstr>
      <vt:lpstr>20260717</vt:lpstr>
      <vt:lpstr>20260718</vt:lpstr>
      <vt:lpstr>20260719</vt:lpstr>
      <vt:lpstr>20260720</vt:lpstr>
      <vt:lpstr>20260721</vt:lpstr>
      <vt:lpstr>20260722</vt:lpstr>
      <vt:lpstr>20260723</vt:lpstr>
      <vt:lpstr>20260724</vt:lpstr>
      <vt:lpstr>20260725</vt:lpstr>
      <vt:lpstr>20260726</vt:lpstr>
      <vt:lpstr>20260727</vt:lpstr>
      <vt:lpstr>20260728</vt:lpstr>
      <vt:lpstr>20260729</vt:lpstr>
      <vt:lpstr>20260730</vt:lpstr>
      <vt:lpstr>20260731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찬현 박</cp:lastModifiedBy>
  <dcterms:created xsi:type="dcterms:W3CDTF">2026-07-04T02:05:22Z</dcterms:created>
  <dcterms:modified xsi:type="dcterms:W3CDTF">2026-08-07T01:27:51Z</dcterms:modified>
</cp:coreProperties>
</file>